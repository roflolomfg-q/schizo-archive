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9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10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11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2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3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4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5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6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xl/python.xml" ContentType="application/vnd.ms-excel.pyth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mothersongroup-my.sharepoint.com/personal/louis_riegel_motherson_com/Documents/Dokumente/"/>
    </mc:Choice>
  </mc:AlternateContent>
  <xr:revisionPtr revIDLastSave="752" documentId="8_{B62F7290-46F9-4877-A82D-0CFA72324377}" xr6:coauthVersionLast="47" xr6:coauthVersionMax="47" xr10:uidLastSave="{9CBBF778-8482-48A5-823C-927D38BF5AED}"/>
  <bookViews>
    <workbookView xWindow="-120" yWindow="-120" windowWidth="29040" windowHeight="15720" xr2:uid="{0EE4C26D-FD91-4ED1-A2D3-A7338E662858}"/>
  </bookViews>
  <sheets>
    <sheet name="Tabelle1" sheetId="1" r:id="rId1"/>
  </sheets>
  <calcPr calcId="191029"/>
  <pivotCaches>
    <pivotCache cacheId="0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57" i="1" l="1"/>
  <c r="B552" i="1"/>
  <c r="B554" i="1" s="1"/>
  <c r="B556" i="1" s="1"/>
  <c r="B551" i="1"/>
  <c r="C551" i="1" s="1"/>
  <c r="B531" i="1"/>
  <c r="B532" i="1" s="1"/>
  <c r="B530" i="1"/>
  <c r="B523" i="1"/>
  <c r="B528" i="1"/>
  <c r="I525" i="1"/>
  <c r="I526" i="1"/>
  <c r="C522" i="1"/>
  <c r="C523" i="1"/>
  <c r="D523" i="1" s="1"/>
  <c r="E523" i="1" s="1"/>
  <c r="F523" i="1" s="1"/>
  <c r="G523" i="1" s="1"/>
  <c r="H523" i="1" s="1"/>
  <c r="I523" i="1" s="1"/>
  <c r="B522" i="1"/>
  <c r="H506" i="1"/>
  <c r="G506" i="1"/>
  <c r="G507" i="1"/>
  <c r="G508" i="1"/>
  <c r="F511" i="1"/>
  <c r="F510" i="1"/>
  <c r="D508" i="1"/>
  <c r="C506" i="1"/>
  <c r="D507" i="1" s="1"/>
  <c r="E508" i="1" s="1"/>
  <c r="F508" i="1" s="1"/>
  <c r="E407" i="1"/>
  <c r="G437" i="1"/>
  <c r="AY381" i="1"/>
  <c r="AZ381" i="1"/>
  <c r="BA381" i="1"/>
  <c r="AY382" i="1"/>
  <c r="AZ382" i="1"/>
  <c r="AZ385" i="1" s="1"/>
  <c r="BA382" i="1"/>
  <c r="BA385" i="1" s="1"/>
  <c r="AY383" i="1"/>
  <c r="AY384" i="1" s="1"/>
  <c r="AZ383" i="1"/>
  <c r="AZ384" i="1" s="1"/>
  <c r="BA383" i="1"/>
  <c r="BA384" i="1"/>
  <c r="AT381" i="1"/>
  <c r="AT384" i="1" s="1"/>
  <c r="AU381" i="1"/>
  <c r="AV381" i="1"/>
  <c r="AW381" i="1"/>
  <c r="AX381" i="1"/>
  <c r="AT382" i="1"/>
  <c r="AT385" i="1" s="1"/>
  <c r="AU382" i="1"/>
  <c r="AU385" i="1" s="1"/>
  <c r="AV382" i="1"/>
  <c r="AV385" i="1" s="1"/>
  <c r="AW382" i="1"/>
  <c r="AX382" i="1"/>
  <c r="AT383" i="1"/>
  <c r="AU383" i="1"/>
  <c r="AV383" i="1"/>
  <c r="AW383" i="1"/>
  <c r="AX383" i="1"/>
  <c r="AU384" i="1"/>
  <c r="AV384" i="1"/>
  <c r="AR381" i="1"/>
  <c r="AS381" i="1"/>
  <c r="AR382" i="1"/>
  <c r="AS382" i="1"/>
  <c r="AR383" i="1"/>
  <c r="AS383" i="1"/>
  <c r="AO381" i="1"/>
  <c r="AO384" i="1" s="1"/>
  <c r="AP381" i="1"/>
  <c r="AQ381" i="1"/>
  <c r="AQ384" i="1" s="1"/>
  <c r="AO382" i="1"/>
  <c r="AO385" i="1" s="1"/>
  <c r="AP382" i="1"/>
  <c r="AP385" i="1" s="1"/>
  <c r="AQ382" i="1"/>
  <c r="AQ385" i="1" s="1"/>
  <c r="AO383" i="1"/>
  <c r="AP383" i="1"/>
  <c r="AP384" i="1" s="1"/>
  <c r="AQ383" i="1"/>
  <c r="AM381" i="1"/>
  <c r="AN381" i="1"/>
  <c r="AM382" i="1"/>
  <c r="AN382" i="1"/>
  <c r="AM383" i="1"/>
  <c r="AN383" i="1"/>
  <c r="AJ381" i="1"/>
  <c r="AJ384" i="1" s="1"/>
  <c r="AK381" i="1"/>
  <c r="AL381" i="1"/>
  <c r="AL384" i="1" s="1"/>
  <c r="AJ382" i="1"/>
  <c r="AJ385" i="1" s="1"/>
  <c r="AK382" i="1"/>
  <c r="AL382" i="1"/>
  <c r="AL385" i="1" s="1"/>
  <c r="AJ383" i="1"/>
  <c r="AK383" i="1"/>
  <c r="AL383" i="1"/>
  <c r="AK384" i="1"/>
  <c r="AI381" i="1"/>
  <c r="AI382" i="1"/>
  <c r="AI385" i="1" s="1"/>
  <c r="AI383" i="1"/>
  <c r="AH381" i="1"/>
  <c r="AH382" i="1"/>
  <c r="AH383" i="1"/>
  <c r="AF381" i="1"/>
  <c r="AF384" i="1" s="1"/>
  <c r="AG381" i="1"/>
  <c r="AG384" i="1" s="1"/>
  <c r="AF382" i="1"/>
  <c r="AF385" i="1" s="1"/>
  <c r="AG382" i="1"/>
  <c r="AG385" i="1" s="1"/>
  <c r="AF383" i="1"/>
  <c r="AG383" i="1"/>
  <c r="AD381" i="1"/>
  <c r="AE381" i="1"/>
  <c r="AD382" i="1"/>
  <c r="AE382" i="1"/>
  <c r="AD383" i="1"/>
  <c r="AE383" i="1"/>
  <c r="AC383" i="1"/>
  <c r="AC382" i="1"/>
  <c r="AC381" i="1"/>
  <c r="B283" i="1"/>
  <c r="K426" i="1"/>
  <c r="H426" i="1"/>
  <c r="H428" i="1"/>
  <c r="G444" i="1"/>
  <c r="G443" i="1"/>
  <c r="G438" i="1"/>
  <c r="G439" i="1"/>
  <c r="G440" i="1"/>
  <c r="G441" i="1"/>
  <c r="G442" i="1"/>
  <c r="C433" i="1"/>
  <c r="G433" i="1"/>
  <c r="K427" i="1"/>
  <c r="K428" i="1"/>
  <c r="K429" i="1"/>
  <c r="K430" i="1"/>
  <c r="K431" i="1"/>
  <c r="K432" i="1"/>
  <c r="E433" i="1"/>
  <c r="D433" i="1"/>
  <c r="E422" i="1"/>
  <c r="B433" i="1"/>
  <c r="A433" i="1"/>
  <c r="F431" i="1"/>
  <c r="H431" i="1" s="1"/>
  <c r="H430" i="1"/>
  <c r="H427" i="1"/>
  <c r="F426" i="1"/>
  <c r="F427" i="1"/>
  <c r="F429" i="1"/>
  <c r="H429" i="1" s="1"/>
  <c r="F430" i="1"/>
  <c r="F432" i="1"/>
  <c r="H432" i="1" s="1"/>
  <c r="F428" i="1"/>
  <c r="F433" i="1" s="1"/>
  <c r="A424" i="1"/>
  <c r="H422" i="1"/>
  <c r="I422" i="1"/>
  <c r="G422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07" i="1"/>
  <c r="F422" i="1"/>
  <c r="C422" i="1"/>
  <c r="E419" i="1"/>
  <c r="E417" i="1"/>
  <c r="D422" i="1"/>
  <c r="E408" i="1"/>
  <c r="E409" i="1"/>
  <c r="E410" i="1"/>
  <c r="E411" i="1"/>
  <c r="E412" i="1"/>
  <c r="E413" i="1"/>
  <c r="E414" i="1"/>
  <c r="E415" i="1"/>
  <c r="E416" i="1"/>
  <c r="E418" i="1"/>
  <c r="E420" i="1"/>
  <c r="E421" i="1"/>
  <c r="D551" i="1" l="1"/>
  <c r="C553" i="1"/>
  <c r="C555" i="1" s="1"/>
  <c r="B553" i="1"/>
  <c r="B555" i="1" s="1"/>
  <c r="B559" i="1" s="1"/>
  <c r="C552" i="1"/>
  <c r="D552" i="1" s="1"/>
  <c r="E552" i="1" s="1"/>
  <c r="D522" i="1"/>
  <c r="B525" i="1"/>
  <c r="B527" i="1" s="1"/>
  <c r="B524" i="1"/>
  <c r="B526" i="1" s="1"/>
  <c r="E522" i="1"/>
  <c r="D524" i="1"/>
  <c r="D526" i="1" s="1"/>
  <c r="C524" i="1"/>
  <c r="C526" i="1" s="1"/>
  <c r="AK385" i="1"/>
  <c r="AN385" i="1"/>
  <c r="AY385" i="1"/>
  <c r="AX384" i="1"/>
  <c r="AX385" i="1"/>
  <c r="AW385" i="1"/>
  <c r="AW384" i="1"/>
  <c r="AS385" i="1"/>
  <c r="AS384" i="1"/>
  <c r="AR384" i="1"/>
  <c r="AR385" i="1"/>
  <c r="AN384" i="1"/>
  <c r="AM385" i="1"/>
  <c r="AM384" i="1"/>
  <c r="AI384" i="1"/>
  <c r="AH385" i="1"/>
  <c r="AH384" i="1"/>
  <c r="AE385" i="1"/>
  <c r="AE384" i="1"/>
  <c r="AD384" i="1"/>
  <c r="AD385" i="1"/>
  <c r="AC384" i="1"/>
  <c r="AC385" i="1"/>
  <c r="H433" i="1"/>
  <c r="B358" i="1"/>
  <c r="NI307" i="1"/>
  <c r="NI309" i="1" s="1"/>
  <c r="NI308" i="1"/>
  <c r="NC307" i="1"/>
  <c r="ND307" i="1" s="1"/>
  <c r="GH307" i="1"/>
  <c r="GI307" i="1" s="1"/>
  <c r="GH308" i="1"/>
  <c r="GH309" i="1"/>
  <c r="Q307" i="1"/>
  <c r="R307" i="1" s="1"/>
  <c r="Q308" i="1"/>
  <c r="Q309" i="1"/>
  <c r="P307" i="1"/>
  <c r="P308" i="1"/>
  <c r="O307" i="1"/>
  <c r="N309" i="1"/>
  <c r="N308" i="1"/>
  <c r="C375" i="1"/>
  <c r="C379" i="1" s="1"/>
  <c r="B379" i="1"/>
  <c r="B380" i="1"/>
  <c r="B381" i="1"/>
  <c r="B382" i="1"/>
  <c r="B383" i="1"/>
  <c r="B384" i="1"/>
  <c r="B307" i="1"/>
  <c r="B308" i="1" s="1"/>
  <c r="C339" i="1"/>
  <c r="C345" i="1" s="1"/>
  <c r="D339" i="1"/>
  <c r="D346" i="1" s="1"/>
  <c r="E339" i="1"/>
  <c r="E345" i="1" s="1"/>
  <c r="F339" i="1"/>
  <c r="F345" i="1" s="1"/>
  <c r="G339" i="1"/>
  <c r="G346" i="1" s="1"/>
  <c r="H339" i="1"/>
  <c r="H345" i="1" s="1"/>
  <c r="I339" i="1"/>
  <c r="I345" i="1" s="1"/>
  <c r="C340" i="1"/>
  <c r="C347" i="1" s="1"/>
  <c r="D340" i="1"/>
  <c r="D342" i="1" s="1"/>
  <c r="E340" i="1"/>
  <c r="E347" i="1" s="1"/>
  <c r="F340" i="1"/>
  <c r="F342" i="1" s="1"/>
  <c r="G340" i="1"/>
  <c r="G342" i="1" s="1"/>
  <c r="H340" i="1"/>
  <c r="H342" i="1" s="1"/>
  <c r="I340" i="1"/>
  <c r="I347" i="1" s="1"/>
  <c r="C341" i="1"/>
  <c r="C343" i="1" s="1"/>
  <c r="D341" i="1"/>
  <c r="D344" i="1" s="1"/>
  <c r="E341" i="1"/>
  <c r="E343" i="1" s="1"/>
  <c r="F341" i="1"/>
  <c r="F344" i="1" s="1"/>
  <c r="G341" i="1"/>
  <c r="G343" i="1" s="1"/>
  <c r="H341" i="1"/>
  <c r="H343" i="1" s="1"/>
  <c r="I341" i="1"/>
  <c r="I343" i="1" s="1"/>
  <c r="B339" i="1"/>
  <c r="B346" i="1" s="1"/>
  <c r="B340" i="1"/>
  <c r="B347" i="1" s="1"/>
  <c r="B341" i="1"/>
  <c r="B343" i="1" s="1"/>
  <c r="I313" i="1" a="1"/>
  <c r="I313" i="1" s="1"/>
  <c r="K325" i="1"/>
  <c r="L325" i="1" s="1"/>
  <c r="M325" i="1" s="1"/>
  <c r="N325" i="1" s="1"/>
  <c r="O325" i="1" s="1"/>
  <c r="P325" i="1" s="1"/>
  <c r="Q325" i="1" s="1"/>
  <c r="R325" i="1" s="1"/>
  <c r="S325" i="1" s="1"/>
  <c r="T325" i="1" s="1"/>
  <c r="K326" i="1" s="1"/>
  <c r="L326" i="1" s="1"/>
  <c r="M326" i="1" s="1"/>
  <c r="N326" i="1" s="1"/>
  <c r="O326" i="1" s="1"/>
  <c r="P326" i="1" s="1"/>
  <c r="Q326" i="1" s="1"/>
  <c r="R326" i="1" s="1"/>
  <c r="S326" i="1" s="1"/>
  <c r="T326" i="1" s="1"/>
  <c r="K327" i="1" s="1"/>
  <c r="L327" i="1" s="1"/>
  <c r="M327" i="1" s="1"/>
  <c r="N327" i="1" s="1"/>
  <c r="O327" i="1" s="1"/>
  <c r="P327" i="1" s="1"/>
  <c r="Q327" i="1" s="1"/>
  <c r="R327" i="1" s="1"/>
  <c r="S327" i="1" s="1"/>
  <c r="T327" i="1" s="1"/>
  <c r="K328" i="1" s="1"/>
  <c r="L328" i="1" s="1"/>
  <c r="M328" i="1" s="1"/>
  <c r="N328" i="1" s="1"/>
  <c r="O328" i="1" s="1"/>
  <c r="P328" i="1" s="1"/>
  <c r="Q328" i="1" s="1"/>
  <c r="R328" i="1" s="1"/>
  <c r="S328" i="1" s="1"/>
  <c r="T328" i="1" s="1"/>
  <c r="K329" i="1" s="1"/>
  <c r="L329" i="1" s="1"/>
  <c r="M329" i="1" s="1"/>
  <c r="N329" i="1" s="1"/>
  <c r="O329" i="1" s="1"/>
  <c r="P329" i="1" s="1"/>
  <c r="Q329" i="1" s="1"/>
  <c r="R329" i="1" s="1"/>
  <c r="S329" i="1" s="1"/>
  <c r="T329" i="1" s="1"/>
  <c r="K330" i="1" s="1"/>
  <c r="L330" i="1" s="1"/>
  <c r="M330" i="1" s="1"/>
  <c r="N330" i="1" s="1"/>
  <c r="O330" i="1" s="1"/>
  <c r="P330" i="1" s="1"/>
  <c r="Q330" i="1" s="1"/>
  <c r="R330" i="1" s="1"/>
  <c r="S330" i="1" s="1"/>
  <c r="T330" i="1" s="1"/>
  <c r="K331" i="1" s="1"/>
  <c r="L331" i="1" s="1"/>
  <c r="M331" i="1" s="1"/>
  <c r="N331" i="1" s="1"/>
  <c r="O331" i="1" s="1"/>
  <c r="P331" i="1" s="1"/>
  <c r="Q331" i="1" s="1"/>
  <c r="R331" i="1" s="1"/>
  <c r="S331" i="1" s="1"/>
  <c r="T331" i="1" s="1"/>
  <c r="K332" i="1" s="1"/>
  <c r="L332" i="1" s="1"/>
  <c r="M332" i="1" s="1"/>
  <c r="N332" i="1" s="1"/>
  <c r="O332" i="1" s="1"/>
  <c r="P332" i="1" s="1"/>
  <c r="Q332" i="1" s="1"/>
  <c r="R332" i="1" s="1"/>
  <c r="S332" i="1" s="1"/>
  <c r="T332" i="1" s="1"/>
  <c r="K333" i="1" s="1"/>
  <c r="L333" i="1" s="1"/>
  <c r="M333" i="1" s="1"/>
  <c r="N333" i="1" s="1"/>
  <c r="O333" i="1" s="1"/>
  <c r="P333" i="1" s="1"/>
  <c r="Q333" i="1" s="1"/>
  <c r="R333" i="1" s="1"/>
  <c r="S333" i="1" s="1"/>
  <c r="T333" i="1" s="1"/>
  <c r="K334" i="1" s="1"/>
  <c r="L334" i="1" s="1"/>
  <c r="M334" i="1" s="1"/>
  <c r="N334" i="1" s="1"/>
  <c r="O334" i="1" s="1"/>
  <c r="P334" i="1" s="1"/>
  <c r="Q334" i="1" s="1"/>
  <c r="R334" i="1" s="1"/>
  <c r="S334" i="1" s="1"/>
  <c r="T334" i="1" s="1"/>
  <c r="K335" i="1" s="1"/>
  <c r="L335" i="1" s="1"/>
  <c r="M335" i="1" s="1"/>
  <c r="N335" i="1" s="1"/>
  <c r="O335" i="1" s="1"/>
  <c r="P335" i="1" s="1"/>
  <c r="Q335" i="1" s="1"/>
  <c r="R335" i="1" s="1"/>
  <c r="S335" i="1" s="1"/>
  <c r="T335" i="1" s="1"/>
  <c r="K336" i="1" s="1"/>
  <c r="L336" i="1" s="1"/>
  <c r="M336" i="1" s="1"/>
  <c r="N336" i="1" s="1"/>
  <c r="O336" i="1" s="1"/>
  <c r="P336" i="1" s="1"/>
  <c r="Q336" i="1" s="1"/>
  <c r="R336" i="1" s="1"/>
  <c r="S336" i="1" s="1"/>
  <c r="T336" i="1" s="1"/>
  <c r="K337" i="1" s="1"/>
  <c r="L337" i="1" s="1"/>
  <c r="M337" i="1" s="1"/>
  <c r="N337" i="1" s="1"/>
  <c r="O337" i="1" s="1"/>
  <c r="P337" i="1" s="1"/>
  <c r="Q337" i="1" s="1"/>
  <c r="R337" i="1" s="1"/>
  <c r="S337" i="1" s="1"/>
  <c r="T337" i="1" s="1"/>
  <c r="K338" i="1" s="1"/>
  <c r="L338" i="1" s="1"/>
  <c r="M338" i="1" s="1"/>
  <c r="N338" i="1" s="1"/>
  <c r="O338" i="1" s="1"/>
  <c r="P338" i="1" s="1"/>
  <c r="Q338" i="1" s="1"/>
  <c r="R338" i="1" s="1"/>
  <c r="S338" i="1" s="1"/>
  <c r="T338" i="1" s="1"/>
  <c r="K339" i="1" s="1"/>
  <c r="L339" i="1" s="1"/>
  <c r="M339" i="1" s="1"/>
  <c r="N339" i="1" s="1"/>
  <c r="O339" i="1" s="1"/>
  <c r="P339" i="1" s="1"/>
  <c r="Q339" i="1" s="1"/>
  <c r="R339" i="1" s="1"/>
  <c r="S339" i="1" s="1"/>
  <c r="T339" i="1" s="1"/>
  <c r="K340" i="1" s="1"/>
  <c r="L340" i="1" s="1"/>
  <c r="M340" i="1" s="1"/>
  <c r="N340" i="1" s="1"/>
  <c r="O340" i="1" s="1"/>
  <c r="P340" i="1" s="1"/>
  <c r="Q340" i="1" s="1"/>
  <c r="R340" i="1" s="1"/>
  <c r="S340" i="1" s="1"/>
  <c r="T340" i="1" s="1"/>
  <c r="K341" i="1" s="1"/>
  <c r="L341" i="1" s="1"/>
  <c r="M341" i="1" s="1"/>
  <c r="N341" i="1" s="1"/>
  <c r="O341" i="1" s="1"/>
  <c r="P341" i="1" s="1"/>
  <c r="Q341" i="1" s="1"/>
  <c r="R341" i="1" s="1"/>
  <c r="S341" i="1" s="1"/>
  <c r="T341" i="1" s="1"/>
  <c r="K342" i="1" s="1"/>
  <c r="L342" i="1" s="1"/>
  <c r="M342" i="1" s="1"/>
  <c r="N342" i="1" s="1"/>
  <c r="O342" i="1" s="1"/>
  <c r="P342" i="1" s="1"/>
  <c r="Q342" i="1" s="1"/>
  <c r="R342" i="1" s="1"/>
  <c r="S342" i="1" s="1"/>
  <c r="T342" i="1" s="1"/>
  <c r="K343" i="1" s="1"/>
  <c r="L343" i="1" s="1"/>
  <c r="M343" i="1" s="1"/>
  <c r="N343" i="1" s="1"/>
  <c r="O343" i="1" s="1"/>
  <c r="P343" i="1" s="1"/>
  <c r="Q343" i="1" s="1"/>
  <c r="R343" i="1" s="1"/>
  <c r="S343" i="1" s="1"/>
  <c r="T343" i="1" s="1"/>
  <c r="K344" i="1" s="1"/>
  <c r="L344" i="1" s="1"/>
  <c r="M344" i="1" s="1"/>
  <c r="N344" i="1" s="1"/>
  <c r="O344" i="1" s="1"/>
  <c r="P344" i="1" s="1"/>
  <c r="Q344" i="1" s="1"/>
  <c r="R344" i="1" s="1"/>
  <c r="S344" i="1" s="1"/>
  <c r="T344" i="1" s="1"/>
  <c r="K345" i="1" s="1"/>
  <c r="L345" i="1" s="1"/>
  <c r="M345" i="1" s="1"/>
  <c r="N345" i="1" s="1"/>
  <c r="O345" i="1" s="1"/>
  <c r="P345" i="1" s="1"/>
  <c r="Q345" i="1" s="1"/>
  <c r="R345" i="1" s="1"/>
  <c r="S345" i="1" s="1"/>
  <c r="T345" i="1" s="1"/>
  <c r="K346" i="1" s="1"/>
  <c r="L346" i="1" s="1"/>
  <c r="M346" i="1" s="1"/>
  <c r="N346" i="1" s="1"/>
  <c r="O346" i="1" s="1"/>
  <c r="P346" i="1" s="1"/>
  <c r="Q346" i="1" s="1"/>
  <c r="R346" i="1" s="1"/>
  <c r="S346" i="1" s="1"/>
  <c r="T346" i="1" s="1"/>
  <c r="K347" i="1" s="1"/>
  <c r="L347" i="1" s="1"/>
  <c r="M347" i="1" s="1"/>
  <c r="N347" i="1" s="1"/>
  <c r="O347" i="1" s="1"/>
  <c r="P347" i="1" s="1"/>
  <c r="Q347" i="1" s="1"/>
  <c r="R347" i="1" s="1"/>
  <c r="S347" i="1" s="1"/>
  <c r="T347" i="1" s="1"/>
  <c r="K348" i="1" s="1"/>
  <c r="L348" i="1" s="1"/>
  <c r="M348" i="1" s="1"/>
  <c r="N348" i="1" s="1"/>
  <c r="O348" i="1" s="1"/>
  <c r="P348" i="1" s="1"/>
  <c r="Q348" i="1" s="1"/>
  <c r="R348" i="1" s="1"/>
  <c r="S348" i="1" s="1"/>
  <c r="T348" i="1" s="1"/>
  <c r="K349" i="1" s="1"/>
  <c r="L349" i="1" s="1"/>
  <c r="M349" i="1" s="1"/>
  <c r="N349" i="1" s="1"/>
  <c r="O349" i="1" s="1"/>
  <c r="P349" i="1" s="1"/>
  <c r="Q349" i="1" s="1"/>
  <c r="R349" i="1" s="1"/>
  <c r="S349" i="1" s="1"/>
  <c r="T349" i="1" s="1"/>
  <c r="K350" i="1" s="1"/>
  <c r="L350" i="1" s="1"/>
  <c r="M350" i="1" s="1"/>
  <c r="N350" i="1" s="1"/>
  <c r="O350" i="1" s="1"/>
  <c r="P350" i="1" s="1"/>
  <c r="Q350" i="1" s="1"/>
  <c r="R350" i="1" s="1"/>
  <c r="S350" i="1" s="1"/>
  <c r="T350" i="1" s="1"/>
  <c r="K351" i="1" s="1"/>
  <c r="L351" i="1" s="1"/>
  <c r="M351" i="1" s="1"/>
  <c r="N351" i="1" s="1"/>
  <c r="O351" i="1" s="1"/>
  <c r="P351" i="1" s="1"/>
  <c r="Q351" i="1" s="1"/>
  <c r="R351" i="1" s="1"/>
  <c r="S351" i="1" s="1"/>
  <c r="T351" i="1" s="1"/>
  <c r="K352" i="1" s="1"/>
  <c r="L352" i="1" s="1"/>
  <c r="M352" i="1" s="1"/>
  <c r="N352" i="1" s="1"/>
  <c r="O352" i="1" s="1"/>
  <c r="P352" i="1" s="1"/>
  <c r="Q352" i="1" s="1"/>
  <c r="R352" i="1" s="1"/>
  <c r="S352" i="1" s="1"/>
  <c r="T352" i="1" s="1"/>
  <c r="K353" i="1" s="1"/>
  <c r="L353" i="1" s="1"/>
  <c r="M353" i="1" s="1"/>
  <c r="N353" i="1" s="1"/>
  <c r="O353" i="1" s="1"/>
  <c r="P353" i="1" s="1"/>
  <c r="Q353" i="1" s="1"/>
  <c r="R353" i="1" s="1"/>
  <c r="S353" i="1" s="1"/>
  <c r="T353" i="1" s="1"/>
  <c r="K354" i="1" s="1"/>
  <c r="L354" i="1" s="1"/>
  <c r="M354" i="1" s="1"/>
  <c r="N354" i="1" s="1"/>
  <c r="O354" i="1" s="1"/>
  <c r="P354" i="1" s="1"/>
  <c r="Q354" i="1" s="1"/>
  <c r="R354" i="1" s="1"/>
  <c r="S354" i="1" s="1"/>
  <c r="T354" i="1" s="1"/>
  <c r="K355" i="1" s="1"/>
  <c r="L355" i="1" s="1"/>
  <c r="M355" i="1" s="1"/>
  <c r="N355" i="1" s="1"/>
  <c r="O355" i="1" s="1"/>
  <c r="P355" i="1" s="1"/>
  <c r="Q355" i="1" s="1"/>
  <c r="R355" i="1" s="1"/>
  <c r="S355" i="1" s="1"/>
  <c r="T355" i="1" s="1"/>
  <c r="K356" i="1" s="1"/>
  <c r="L356" i="1" s="1"/>
  <c r="M356" i="1" s="1"/>
  <c r="N356" i="1" s="1"/>
  <c r="O356" i="1" s="1"/>
  <c r="P356" i="1" s="1"/>
  <c r="Q356" i="1" s="1"/>
  <c r="R356" i="1" s="1"/>
  <c r="S356" i="1" s="1"/>
  <c r="T356" i="1" s="1"/>
  <c r="K357" i="1" s="1"/>
  <c r="L357" i="1" s="1"/>
  <c r="M357" i="1" s="1"/>
  <c r="N357" i="1" s="1"/>
  <c r="O357" i="1" s="1"/>
  <c r="P357" i="1" s="1"/>
  <c r="Q357" i="1" s="1"/>
  <c r="R357" i="1" s="1"/>
  <c r="S357" i="1" s="1"/>
  <c r="T357" i="1" s="1"/>
  <c r="K358" i="1" s="1"/>
  <c r="L358" i="1" s="1"/>
  <c r="M358" i="1" s="1"/>
  <c r="N358" i="1" s="1"/>
  <c r="O358" i="1" s="1"/>
  <c r="P358" i="1" s="1"/>
  <c r="Q358" i="1" s="1"/>
  <c r="R358" i="1" s="1"/>
  <c r="S358" i="1" s="1"/>
  <c r="T358" i="1" s="1"/>
  <c r="K359" i="1" s="1"/>
  <c r="L359" i="1" s="1"/>
  <c r="M359" i="1" s="1"/>
  <c r="N359" i="1" s="1"/>
  <c r="O359" i="1" s="1"/>
  <c r="P359" i="1" s="1"/>
  <c r="Q359" i="1" s="1"/>
  <c r="R359" i="1" s="1"/>
  <c r="S359" i="1" s="1"/>
  <c r="T359" i="1" s="1"/>
  <c r="K360" i="1" s="1"/>
  <c r="L360" i="1" s="1"/>
  <c r="M360" i="1" s="1"/>
  <c r="N360" i="1" s="1"/>
  <c r="O360" i="1" s="1"/>
  <c r="P360" i="1" s="1"/>
  <c r="Q360" i="1" s="1"/>
  <c r="R360" i="1" s="1"/>
  <c r="S360" i="1" s="1"/>
  <c r="T360" i="1" s="1"/>
  <c r="K361" i="1" s="1"/>
  <c r="L361" i="1" s="1"/>
  <c r="M361" i="1" s="1"/>
  <c r="N361" i="1" s="1"/>
  <c r="O361" i="1" s="1"/>
  <c r="P361" i="1" s="1"/>
  <c r="Q361" i="1" s="1"/>
  <c r="R361" i="1" s="1"/>
  <c r="S361" i="1" s="1"/>
  <c r="T361" i="1" s="1"/>
  <c r="K362" i="1" s="1"/>
  <c r="L362" i="1" s="1"/>
  <c r="M362" i="1" s="1"/>
  <c r="N362" i="1" s="1"/>
  <c r="O362" i="1" s="1"/>
  <c r="P362" i="1" s="1"/>
  <c r="Q362" i="1" s="1"/>
  <c r="R362" i="1" s="1"/>
  <c r="S362" i="1" s="1"/>
  <c r="T362" i="1" s="1"/>
  <c r="K363" i="1" s="1"/>
  <c r="L363" i="1" s="1"/>
  <c r="M363" i="1" s="1"/>
  <c r="N363" i="1" s="1"/>
  <c r="O363" i="1" s="1"/>
  <c r="P363" i="1" s="1"/>
  <c r="Q363" i="1" s="1"/>
  <c r="R363" i="1" s="1"/>
  <c r="S363" i="1" s="1"/>
  <c r="T363" i="1" s="1"/>
  <c r="K364" i="1" s="1"/>
  <c r="L364" i="1" s="1"/>
  <c r="M364" i="1" s="1"/>
  <c r="N364" i="1" s="1"/>
  <c r="O364" i="1" s="1"/>
  <c r="P364" i="1" s="1"/>
  <c r="Q364" i="1" s="1"/>
  <c r="R364" i="1" s="1"/>
  <c r="S364" i="1" s="1"/>
  <c r="T364" i="1" s="1"/>
  <c r="K365" i="1" s="1"/>
  <c r="L365" i="1" s="1"/>
  <c r="M365" i="1" s="1"/>
  <c r="N365" i="1" s="1"/>
  <c r="O365" i="1" s="1"/>
  <c r="P365" i="1" s="1"/>
  <c r="Q365" i="1" s="1"/>
  <c r="R365" i="1" s="1"/>
  <c r="S365" i="1" s="1"/>
  <c r="T365" i="1" s="1"/>
  <c r="K366" i="1" s="1"/>
  <c r="L366" i="1" s="1"/>
  <c r="M366" i="1" s="1"/>
  <c r="N366" i="1" s="1"/>
  <c r="O366" i="1" s="1"/>
  <c r="P366" i="1" s="1"/>
  <c r="Q366" i="1" s="1"/>
  <c r="R366" i="1" s="1"/>
  <c r="S366" i="1" s="1"/>
  <c r="T366" i="1" s="1"/>
  <c r="K367" i="1" s="1"/>
  <c r="L367" i="1" s="1"/>
  <c r="M367" i="1" s="1"/>
  <c r="N367" i="1" s="1"/>
  <c r="O367" i="1" s="1"/>
  <c r="P367" i="1" s="1"/>
  <c r="Q367" i="1" s="1"/>
  <c r="R367" i="1" s="1"/>
  <c r="S367" i="1" s="1"/>
  <c r="T367" i="1" s="1"/>
  <c r="K368" i="1" s="1"/>
  <c r="L368" i="1" s="1"/>
  <c r="M368" i="1" s="1"/>
  <c r="N368" i="1" s="1"/>
  <c r="O368" i="1" s="1"/>
  <c r="P368" i="1" s="1"/>
  <c r="Q368" i="1" s="1"/>
  <c r="R368" i="1" s="1"/>
  <c r="S368" i="1" s="1"/>
  <c r="T368" i="1" s="1"/>
  <c r="K369" i="1" s="1"/>
  <c r="L369" i="1" s="1"/>
  <c r="M369" i="1" s="1"/>
  <c r="N369" i="1" s="1"/>
  <c r="O369" i="1" s="1"/>
  <c r="P369" i="1" s="1"/>
  <c r="Q369" i="1" s="1"/>
  <c r="R369" i="1" s="1"/>
  <c r="S369" i="1" s="1"/>
  <c r="T369" i="1" s="1"/>
  <c r="K370" i="1" s="1"/>
  <c r="L370" i="1" s="1"/>
  <c r="M370" i="1" s="1"/>
  <c r="N370" i="1" s="1"/>
  <c r="O370" i="1" s="1"/>
  <c r="P370" i="1" s="1"/>
  <c r="Q370" i="1" s="1"/>
  <c r="R370" i="1" s="1"/>
  <c r="S370" i="1" s="1"/>
  <c r="T370" i="1" s="1"/>
  <c r="K371" i="1" s="1"/>
  <c r="L371" i="1" s="1"/>
  <c r="M371" i="1" s="1"/>
  <c r="N371" i="1" s="1"/>
  <c r="O371" i="1" s="1"/>
  <c r="P371" i="1" s="1"/>
  <c r="Q371" i="1" s="1"/>
  <c r="R371" i="1" s="1"/>
  <c r="S371" i="1" s="1"/>
  <c r="T371" i="1" s="1"/>
  <c r="E346" i="1"/>
  <c r="C283" i="1"/>
  <c r="C284" i="1"/>
  <c r="C285" i="1"/>
  <c r="A308" i="1"/>
  <c r="A309" i="1"/>
  <c r="J250" i="1"/>
  <c r="J251" i="1"/>
  <c r="J252" i="1"/>
  <c r="B250" i="1"/>
  <c r="C250" i="1"/>
  <c r="D250" i="1"/>
  <c r="E250" i="1"/>
  <c r="F250" i="1"/>
  <c r="G250" i="1"/>
  <c r="H250" i="1"/>
  <c r="I250" i="1"/>
  <c r="B251" i="1"/>
  <c r="C251" i="1"/>
  <c r="D251" i="1"/>
  <c r="E251" i="1"/>
  <c r="F251" i="1"/>
  <c r="G251" i="1"/>
  <c r="H251" i="1"/>
  <c r="I251" i="1"/>
  <c r="B252" i="1"/>
  <c r="C252" i="1"/>
  <c r="D252" i="1"/>
  <c r="E252" i="1"/>
  <c r="F252" i="1"/>
  <c r="G252" i="1"/>
  <c r="H252" i="1"/>
  <c r="I252" i="1"/>
  <c r="J283" i="1"/>
  <c r="J284" i="1"/>
  <c r="J285" i="1"/>
  <c r="D283" i="1"/>
  <c r="E283" i="1"/>
  <c r="F283" i="1"/>
  <c r="G283" i="1"/>
  <c r="H283" i="1"/>
  <c r="I283" i="1"/>
  <c r="D284" i="1"/>
  <c r="E284" i="1"/>
  <c r="F284" i="1"/>
  <c r="G284" i="1"/>
  <c r="H284" i="1"/>
  <c r="I284" i="1"/>
  <c r="D285" i="1"/>
  <c r="E285" i="1"/>
  <c r="F285" i="1"/>
  <c r="G285" i="1"/>
  <c r="H285" i="1"/>
  <c r="I285" i="1"/>
  <c r="B285" i="1"/>
  <c r="B284" i="1"/>
  <c r="C220" i="1"/>
  <c r="D220" i="1"/>
  <c r="E220" i="1"/>
  <c r="F220" i="1"/>
  <c r="G220" i="1"/>
  <c r="H220" i="1"/>
  <c r="I220" i="1"/>
  <c r="J220" i="1"/>
  <c r="K220" i="1"/>
  <c r="C221" i="1"/>
  <c r="D221" i="1"/>
  <c r="E221" i="1"/>
  <c r="F221" i="1"/>
  <c r="G221" i="1"/>
  <c r="H221" i="1"/>
  <c r="I221" i="1"/>
  <c r="J221" i="1"/>
  <c r="K221" i="1"/>
  <c r="B220" i="1"/>
  <c r="B221" i="1"/>
  <c r="C217" i="1"/>
  <c r="D217" i="1"/>
  <c r="E217" i="1"/>
  <c r="F217" i="1"/>
  <c r="G217" i="1"/>
  <c r="H217" i="1"/>
  <c r="I217" i="1"/>
  <c r="J217" i="1"/>
  <c r="K217" i="1"/>
  <c r="C218" i="1"/>
  <c r="D218" i="1"/>
  <c r="E218" i="1"/>
  <c r="F218" i="1"/>
  <c r="G218" i="1"/>
  <c r="H218" i="1"/>
  <c r="I218" i="1"/>
  <c r="J218" i="1"/>
  <c r="K218" i="1"/>
  <c r="C219" i="1"/>
  <c r="D219" i="1"/>
  <c r="E219" i="1"/>
  <c r="F219" i="1"/>
  <c r="G219" i="1"/>
  <c r="H219" i="1"/>
  <c r="I219" i="1"/>
  <c r="J219" i="1"/>
  <c r="K219" i="1"/>
  <c r="B219" i="1"/>
  <c r="B218" i="1"/>
  <c r="B217" i="1"/>
  <c r="B178" i="1"/>
  <c r="B181" i="1" s="1"/>
  <c r="D150" i="1"/>
  <c r="B180" i="1"/>
  <c r="B185" i="1" s="1"/>
  <c r="B179" i="1"/>
  <c r="B183" i="1" s="1"/>
  <c r="C115" i="1"/>
  <c r="C118" i="1" s="1"/>
  <c r="C116" i="1"/>
  <c r="C120" i="1" s="1"/>
  <c r="C117" i="1"/>
  <c r="C119" i="1" s="1"/>
  <c r="D115" i="1"/>
  <c r="D118" i="1" s="1"/>
  <c r="E115" i="1"/>
  <c r="E118" i="1" s="1"/>
  <c r="F115" i="1"/>
  <c r="F118" i="1" s="1"/>
  <c r="G115" i="1"/>
  <c r="G118" i="1" s="1"/>
  <c r="H115" i="1"/>
  <c r="H118" i="1" s="1"/>
  <c r="I115" i="1"/>
  <c r="I118" i="1" s="1"/>
  <c r="D116" i="1"/>
  <c r="D120" i="1" s="1"/>
  <c r="E116" i="1"/>
  <c r="E120" i="1" s="1"/>
  <c r="F116" i="1"/>
  <c r="F120" i="1" s="1"/>
  <c r="G116" i="1"/>
  <c r="G120" i="1" s="1"/>
  <c r="H116" i="1"/>
  <c r="H120" i="1" s="1"/>
  <c r="I116" i="1"/>
  <c r="I120" i="1" s="1"/>
  <c r="D117" i="1"/>
  <c r="D122" i="1" s="1"/>
  <c r="E117" i="1"/>
  <c r="E119" i="1" s="1"/>
  <c r="F117" i="1"/>
  <c r="F119" i="1" s="1"/>
  <c r="G117" i="1"/>
  <c r="G122" i="1" s="1"/>
  <c r="H117" i="1"/>
  <c r="H122" i="1" s="1"/>
  <c r="I117" i="1"/>
  <c r="I122" i="1" s="1"/>
  <c r="B117" i="1"/>
  <c r="B122" i="1" s="1"/>
  <c r="B115" i="1"/>
  <c r="B118" i="1" s="1"/>
  <c r="B116" i="1"/>
  <c r="B120" i="1" s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N4" i="1"/>
  <c r="N14" i="1" a="1"/>
  <c r="N14" i="1" s="1"/>
  <c r="L23" i="1"/>
  <c r="M23" i="1"/>
  <c r="C87" i="1"/>
  <c r="D87" i="1"/>
  <c r="E87" i="1"/>
  <c r="F87" i="1"/>
  <c r="G87" i="1"/>
  <c r="H87" i="1"/>
  <c r="I87" i="1"/>
  <c r="J87" i="1"/>
  <c r="K87" i="1"/>
  <c r="L87" i="1"/>
  <c r="M87" i="1"/>
  <c r="N87" i="1"/>
  <c r="O87" i="1"/>
  <c r="P87" i="1"/>
  <c r="Q87" i="1"/>
  <c r="R87" i="1"/>
  <c r="S87" i="1"/>
  <c r="T87" i="1"/>
  <c r="U87" i="1"/>
  <c r="V87" i="1"/>
  <c r="B87" i="1"/>
  <c r="C69" i="1"/>
  <c r="D69" i="1"/>
  <c r="E69" i="1"/>
  <c r="F69" i="1"/>
  <c r="G69" i="1"/>
  <c r="H69" i="1"/>
  <c r="I69" i="1"/>
  <c r="J69" i="1"/>
  <c r="K69" i="1"/>
  <c r="L69" i="1"/>
  <c r="M69" i="1"/>
  <c r="N69" i="1"/>
  <c r="O69" i="1"/>
  <c r="P69" i="1"/>
  <c r="Q69" i="1"/>
  <c r="R69" i="1"/>
  <c r="S69" i="1"/>
  <c r="T69" i="1"/>
  <c r="U69" i="1"/>
  <c r="V69" i="1"/>
  <c r="B69" i="1"/>
  <c r="C50" i="1"/>
  <c r="D50" i="1"/>
  <c r="E50" i="1"/>
  <c r="F50" i="1"/>
  <c r="G50" i="1"/>
  <c r="H50" i="1"/>
  <c r="I50" i="1"/>
  <c r="J50" i="1"/>
  <c r="K50" i="1"/>
  <c r="L50" i="1"/>
  <c r="M50" i="1"/>
  <c r="N50" i="1"/>
  <c r="O50" i="1"/>
  <c r="P50" i="1"/>
  <c r="Q50" i="1"/>
  <c r="R50" i="1"/>
  <c r="S50" i="1"/>
  <c r="T50" i="1"/>
  <c r="U50" i="1"/>
  <c r="V50" i="1"/>
  <c r="B50" i="1"/>
  <c r="K23" i="1"/>
  <c r="B40" i="1"/>
  <c r="B41" i="1" s="1"/>
  <c r="C36" i="1"/>
  <c r="D36" i="1"/>
  <c r="E36" i="1"/>
  <c r="F36" i="1"/>
  <c r="G36" i="1"/>
  <c r="H36" i="1"/>
  <c r="I36" i="1"/>
  <c r="J36" i="1"/>
  <c r="K36" i="1"/>
  <c r="L36" i="1"/>
  <c r="M36" i="1"/>
  <c r="B36" i="1"/>
  <c r="I23" i="1"/>
  <c r="J17" i="1" s="1"/>
  <c r="J23" i="1"/>
  <c r="J6" i="1"/>
  <c r="J5" i="1" s="1"/>
  <c r="C6" i="1"/>
  <c r="C5" i="1" s="1"/>
  <c r="D6" i="1"/>
  <c r="D5" i="1" s="1"/>
  <c r="E6" i="1"/>
  <c r="E5" i="1" s="1"/>
  <c r="F6" i="1"/>
  <c r="F5" i="1" s="1"/>
  <c r="G6" i="1"/>
  <c r="G5" i="1" s="1"/>
  <c r="H6" i="1"/>
  <c r="H5" i="1" s="1"/>
  <c r="I6" i="1"/>
  <c r="I5" i="1" s="1"/>
  <c r="K6" i="1"/>
  <c r="K5" i="1" s="1"/>
  <c r="L6" i="1"/>
  <c r="L5" i="1" s="1"/>
  <c r="M6" i="1"/>
  <c r="M5" i="1" s="1"/>
  <c r="C8" i="1"/>
  <c r="D8" i="1"/>
  <c r="E8" i="1"/>
  <c r="F8" i="1"/>
  <c r="G8" i="1"/>
  <c r="H8" i="1"/>
  <c r="I8" i="1"/>
  <c r="J8" i="1"/>
  <c r="K8" i="1"/>
  <c r="L8" i="1"/>
  <c r="M8" i="1"/>
  <c r="B8" i="1"/>
  <c r="B6" i="1"/>
  <c r="B5" i="1" s="1"/>
  <c r="B558" i="1" l="1"/>
  <c r="E551" i="1"/>
  <c r="D553" i="1"/>
  <c r="D555" i="1" s="1"/>
  <c r="C554" i="1"/>
  <c r="C556" i="1" s="1"/>
  <c r="D554" i="1"/>
  <c r="D556" i="1" s="1"/>
  <c r="F552" i="1"/>
  <c r="E554" i="1"/>
  <c r="E556" i="1" s="1"/>
  <c r="B539" i="1"/>
  <c r="B537" i="1"/>
  <c r="B529" i="1"/>
  <c r="E524" i="1"/>
  <c r="E526" i="1" s="1"/>
  <c r="F522" i="1"/>
  <c r="C525" i="1"/>
  <c r="C527" i="1" s="1"/>
  <c r="NE307" i="1"/>
  <c r="ND308" i="1"/>
  <c r="ND309" i="1"/>
  <c r="NC308" i="1"/>
  <c r="NC309" i="1"/>
  <c r="GJ307" i="1"/>
  <c r="GI308" i="1"/>
  <c r="GI309" i="1"/>
  <c r="S307" i="1"/>
  <c r="R309" i="1"/>
  <c r="R308" i="1"/>
  <c r="P309" i="1"/>
  <c r="O308" i="1"/>
  <c r="O309" i="1"/>
  <c r="B387" i="1"/>
  <c r="C383" i="1"/>
  <c r="C384" i="1"/>
  <c r="C386" i="1" s="1"/>
  <c r="D375" i="1"/>
  <c r="E375" i="1" s="1"/>
  <c r="E381" i="1" s="1"/>
  <c r="C382" i="1"/>
  <c r="C381" i="1"/>
  <c r="C380" i="1"/>
  <c r="B385" i="1"/>
  <c r="B386" i="1"/>
  <c r="D254" i="1"/>
  <c r="B345" i="1"/>
  <c r="E254" i="1"/>
  <c r="C287" i="1"/>
  <c r="B286" i="1"/>
  <c r="H254" i="1"/>
  <c r="G254" i="1"/>
  <c r="C286" i="1"/>
  <c r="E122" i="1"/>
  <c r="C307" i="1"/>
  <c r="C309" i="1" s="1"/>
  <c r="I119" i="1"/>
  <c r="B309" i="1"/>
  <c r="I346" i="1"/>
  <c r="I348" i="1" s="1"/>
  <c r="I351" i="1" s="1"/>
  <c r="B342" i="1"/>
  <c r="F347" i="1"/>
  <c r="F349" i="1" s="1"/>
  <c r="F352" i="1" s="1"/>
  <c r="E348" i="1"/>
  <c r="E351" i="1" s="1"/>
  <c r="B344" i="1"/>
  <c r="G344" i="1"/>
  <c r="H344" i="1"/>
  <c r="G347" i="1"/>
  <c r="G349" i="1" s="1"/>
  <c r="F346" i="1"/>
  <c r="D347" i="1"/>
  <c r="D349" i="1" s="1"/>
  <c r="I342" i="1"/>
  <c r="I349" i="1" s="1"/>
  <c r="H346" i="1"/>
  <c r="H348" i="1" s="1"/>
  <c r="I344" i="1"/>
  <c r="I350" i="1" s="1"/>
  <c r="C346" i="1"/>
  <c r="E344" i="1"/>
  <c r="C344" i="1"/>
  <c r="F343" i="1"/>
  <c r="F350" i="1" s="1"/>
  <c r="E342" i="1"/>
  <c r="E349" i="1" s="1"/>
  <c r="G345" i="1"/>
  <c r="G348" i="1" s="1"/>
  <c r="H347" i="1"/>
  <c r="H349" i="1" s="1"/>
  <c r="D343" i="1"/>
  <c r="D350" i="1" s="1"/>
  <c r="C342" i="1"/>
  <c r="C349" i="1" s="1"/>
  <c r="D345" i="1"/>
  <c r="D348" i="1" s="1"/>
  <c r="F287" i="1"/>
  <c r="D119" i="1"/>
  <c r="H253" i="1"/>
  <c r="G253" i="1"/>
  <c r="F254" i="1"/>
  <c r="E253" i="1"/>
  <c r="D253" i="1"/>
  <c r="B253" i="1"/>
  <c r="C122" i="1"/>
  <c r="F122" i="1"/>
  <c r="B119" i="1"/>
  <c r="F121" i="1" s="1"/>
  <c r="G119" i="1"/>
  <c r="H119" i="1"/>
  <c r="E287" i="1"/>
  <c r="C254" i="1"/>
  <c r="C253" i="1"/>
  <c r="I254" i="1"/>
  <c r="I253" i="1"/>
  <c r="F253" i="1"/>
  <c r="J253" i="1"/>
  <c r="G287" i="1"/>
  <c r="D287" i="1"/>
  <c r="J254" i="1"/>
  <c r="B254" i="1"/>
  <c r="D286" i="1"/>
  <c r="J287" i="1"/>
  <c r="I286" i="1"/>
  <c r="I287" i="1"/>
  <c r="H286" i="1"/>
  <c r="H287" i="1"/>
  <c r="J286" i="1"/>
  <c r="G286" i="1"/>
  <c r="F286" i="1"/>
  <c r="E286" i="1"/>
  <c r="B287" i="1"/>
  <c r="B182" i="1"/>
  <c r="B186" i="1"/>
  <c r="B187" i="1" s="1"/>
  <c r="B184" i="1"/>
  <c r="N5" i="1"/>
  <c r="K17" i="1"/>
  <c r="L17" i="1" s="1"/>
  <c r="M17" i="1" s="1"/>
  <c r="B42" i="1"/>
  <c r="C37" i="1"/>
  <c r="C40" i="1" s="1"/>
  <c r="B13" i="1"/>
  <c r="H13" i="1"/>
  <c r="G13" i="1"/>
  <c r="M13" i="1"/>
  <c r="M14" i="1" s="1"/>
  <c r="K13" i="1"/>
  <c r="K14" i="1" s="1"/>
  <c r="I13" i="1"/>
  <c r="J13" i="1"/>
  <c r="L13" i="1"/>
  <c r="L14" i="1" s="1"/>
  <c r="F13" i="1"/>
  <c r="E13" i="1"/>
  <c r="D13" i="1"/>
  <c r="C13" i="1"/>
  <c r="F551" i="1" l="1"/>
  <c r="E553" i="1"/>
  <c r="E555" i="1" s="1"/>
  <c r="D558" i="1"/>
  <c r="D559" i="1"/>
  <c r="C559" i="1"/>
  <c r="C558" i="1"/>
  <c r="G552" i="1"/>
  <c r="F554" i="1"/>
  <c r="F556" i="1" s="1"/>
  <c r="B533" i="1"/>
  <c r="C530" i="1"/>
  <c r="C529" i="1"/>
  <c r="F524" i="1"/>
  <c r="F526" i="1" s="1"/>
  <c r="G522" i="1"/>
  <c r="D525" i="1"/>
  <c r="D527" i="1" s="1"/>
  <c r="B349" i="1"/>
  <c r="B352" i="1" s="1"/>
  <c r="NE308" i="1"/>
  <c r="NF307" i="1"/>
  <c r="NE309" i="1"/>
  <c r="GK307" i="1"/>
  <c r="GJ308" i="1"/>
  <c r="GJ309" i="1"/>
  <c r="T307" i="1"/>
  <c r="S309" i="1"/>
  <c r="S308" i="1"/>
  <c r="B389" i="1"/>
  <c r="B388" i="1"/>
  <c r="C385" i="1"/>
  <c r="C388" i="1" s="1"/>
  <c r="E380" i="1"/>
  <c r="E387" i="1" s="1"/>
  <c r="F375" i="1"/>
  <c r="E379" i="1"/>
  <c r="E382" i="1"/>
  <c r="E383" i="1"/>
  <c r="E384" i="1"/>
  <c r="E386" i="1" s="1"/>
  <c r="D379" i="1"/>
  <c r="D382" i="1"/>
  <c r="D383" i="1"/>
  <c r="D384" i="1"/>
  <c r="C387" i="1"/>
  <c r="C389" i="1" s="1"/>
  <c r="D380" i="1"/>
  <c r="D381" i="1"/>
  <c r="D121" i="1"/>
  <c r="D307" i="1"/>
  <c r="D309" i="1" s="1"/>
  <c r="C308" i="1"/>
  <c r="G352" i="1"/>
  <c r="C348" i="1"/>
  <c r="C351" i="1" s="1"/>
  <c r="F348" i="1"/>
  <c r="F351" i="1" s="1"/>
  <c r="C350" i="1"/>
  <c r="C353" i="1" s="1"/>
  <c r="E350" i="1"/>
  <c r="E353" i="1" s="1"/>
  <c r="E354" i="1" s="1"/>
  <c r="G350" i="1"/>
  <c r="G353" i="1" s="1"/>
  <c r="H350" i="1"/>
  <c r="H353" i="1" s="1"/>
  <c r="B350" i="1"/>
  <c r="B353" i="1" s="1"/>
  <c r="B348" i="1"/>
  <c r="B351" i="1" s="1"/>
  <c r="D353" i="1"/>
  <c r="E352" i="1"/>
  <c r="F353" i="1"/>
  <c r="F355" i="1" s="1"/>
  <c r="C352" i="1"/>
  <c r="I352" i="1"/>
  <c r="I353" i="1"/>
  <c r="I354" i="1" s="1"/>
  <c r="D351" i="1"/>
  <c r="G351" i="1"/>
  <c r="H352" i="1"/>
  <c r="H351" i="1"/>
  <c r="D352" i="1"/>
  <c r="C121" i="1"/>
  <c r="B121" i="1"/>
  <c r="B123" i="1" s="1"/>
  <c r="B124" i="1" s="1"/>
  <c r="G121" i="1"/>
  <c r="H121" i="1"/>
  <c r="I121" i="1"/>
  <c r="E121" i="1"/>
  <c r="B188" i="1"/>
  <c r="B45" i="1"/>
  <c r="B46" i="1" s="1"/>
  <c r="D37" i="1"/>
  <c r="D40" i="1" s="1"/>
  <c r="C41" i="1"/>
  <c r="C42" i="1" s="1"/>
  <c r="E559" i="1" l="1"/>
  <c r="G551" i="1"/>
  <c r="F553" i="1"/>
  <c r="F555" i="1" s="1"/>
  <c r="F559" i="1" s="1"/>
  <c r="E558" i="1"/>
  <c r="H552" i="1"/>
  <c r="G554" i="1"/>
  <c r="G556" i="1" s="1"/>
  <c r="B534" i="1"/>
  <c r="B535" i="1" s="1"/>
  <c r="C528" i="1" s="1"/>
  <c r="C531" i="1" s="1"/>
  <c r="C532" i="1" s="1"/>
  <c r="C533" i="1" s="1"/>
  <c r="B536" i="1"/>
  <c r="B538" i="1" s="1"/>
  <c r="B540" i="1" s="1"/>
  <c r="D529" i="1"/>
  <c r="D530" i="1"/>
  <c r="H522" i="1"/>
  <c r="G524" i="1"/>
  <c r="G526" i="1" s="1"/>
  <c r="E525" i="1"/>
  <c r="E527" i="1" s="1"/>
  <c r="B355" i="1"/>
  <c r="D355" i="1"/>
  <c r="B354" i="1"/>
  <c r="D354" i="1"/>
  <c r="NF308" i="1"/>
  <c r="NF309" i="1"/>
  <c r="NG307" i="1"/>
  <c r="GK309" i="1"/>
  <c r="GL307" i="1"/>
  <c r="GK308" i="1"/>
  <c r="T308" i="1"/>
  <c r="U307" i="1"/>
  <c r="T309" i="1"/>
  <c r="D387" i="1"/>
  <c r="E389" i="1"/>
  <c r="E385" i="1"/>
  <c r="E388" i="1" s="1"/>
  <c r="G375" i="1"/>
  <c r="F380" i="1"/>
  <c r="F384" i="1"/>
  <c r="F381" i="1"/>
  <c r="F387" i="1" s="1"/>
  <c r="F383" i="1"/>
  <c r="F382" i="1"/>
  <c r="F379" i="1"/>
  <c r="D385" i="1"/>
  <c r="D386" i="1"/>
  <c r="F354" i="1"/>
  <c r="C355" i="1"/>
  <c r="H354" i="1"/>
  <c r="I355" i="1"/>
  <c r="G355" i="1"/>
  <c r="G354" i="1"/>
  <c r="E355" i="1"/>
  <c r="H355" i="1"/>
  <c r="C354" i="1"/>
  <c r="E307" i="1"/>
  <c r="E309" i="1" s="1"/>
  <c r="D308" i="1"/>
  <c r="F123" i="1"/>
  <c r="F125" i="1" s="1"/>
  <c r="G123" i="1"/>
  <c r="G124" i="1" s="1"/>
  <c r="H123" i="1"/>
  <c r="I123" i="1"/>
  <c r="I124" i="1" s="1"/>
  <c r="E123" i="1"/>
  <c r="E125" i="1" s="1"/>
  <c r="D123" i="1"/>
  <c r="D124" i="1" s="1"/>
  <c r="C123" i="1"/>
  <c r="C125" i="1" s="1"/>
  <c r="B125" i="1"/>
  <c r="C45" i="1"/>
  <c r="C46" i="1" s="1"/>
  <c r="E37" i="1"/>
  <c r="E40" i="1" s="1"/>
  <c r="D41" i="1"/>
  <c r="D42" i="1" s="1"/>
  <c r="D45" i="1" s="1"/>
  <c r="F558" i="1" l="1"/>
  <c r="H551" i="1"/>
  <c r="G553" i="1"/>
  <c r="G555" i="1" s="1"/>
  <c r="G559" i="1" s="1"/>
  <c r="I552" i="1"/>
  <c r="I554" i="1" s="1"/>
  <c r="I556" i="1" s="1"/>
  <c r="H554" i="1"/>
  <c r="H556" i="1" s="1"/>
  <c r="C539" i="1"/>
  <c r="C537" i="1"/>
  <c r="C534" i="1"/>
  <c r="C535" i="1" s="1"/>
  <c r="D528" i="1" s="1"/>
  <c r="D531" i="1" s="1"/>
  <c r="D532" i="1" s="1"/>
  <c r="D533" i="1" s="1"/>
  <c r="C536" i="1"/>
  <c r="C538" i="1" s="1"/>
  <c r="C540" i="1" s="1"/>
  <c r="E530" i="1"/>
  <c r="E529" i="1"/>
  <c r="I522" i="1"/>
  <c r="I524" i="1" s="1"/>
  <c r="H524" i="1"/>
  <c r="H526" i="1" s="1"/>
  <c r="F525" i="1"/>
  <c r="F527" i="1" s="1"/>
  <c r="NG309" i="1"/>
  <c r="NG308" i="1"/>
  <c r="NH307" i="1"/>
  <c r="GM307" i="1"/>
  <c r="GL308" i="1"/>
  <c r="GL309" i="1"/>
  <c r="U308" i="1"/>
  <c r="U309" i="1"/>
  <c r="V307" i="1"/>
  <c r="D389" i="1"/>
  <c r="D388" i="1"/>
  <c r="F385" i="1"/>
  <c r="F388" i="1" s="1"/>
  <c r="F386" i="1"/>
  <c r="F389" i="1" s="1"/>
  <c r="G379" i="1"/>
  <c r="G384" i="1"/>
  <c r="G386" i="1" s="1"/>
  <c r="G383" i="1"/>
  <c r="G381" i="1"/>
  <c r="G382" i="1"/>
  <c r="G380" i="1"/>
  <c r="H375" i="1"/>
  <c r="I125" i="1"/>
  <c r="E124" i="1"/>
  <c r="G125" i="1"/>
  <c r="F307" i="1"/>
  <c r="G307" i="1" s="1"/>
  <c r="E308" i="1"/>
  <c r="D125" i="1"/>
  <c r="C124" i="1"/>
  <c r="F124" i="1"/>
  <c r="H124" i="1"/>
  <c r="H125" i="1"/>
  <c r="D46" i="1"/>
  <c r="F37" i="1"/>
  <c r="F40" i="1" s="1"/>
  <c r="E41" i="1"/>
  <c r="E42" i="1" s="1"/>
  <c r="E45" i="1" s="1"/>
  <c r="G558" i="1" l="1"/>
  <c r="I551" i="1"/>
  <c r="I553" i="1" s="1"/>
  <c r="I555" i="1" s="1"/>
  <c r="H553" i="1"/>
  <c r="H555" i="1" s="1"/>
  <c r="D539" i="1"/>
  <c r="D537" i="1"/>
  <c r="D534" i="1"/>
  <c r="D535" i="1" s="1"/>
  <c r="E528" i="1" s="1"/>
  <c r="E531" i="1" s="1"/>
  <c r="E532" i="1" s="1"/>
  <c r="E533" i="1" s="1"/>
  <c r="D536" i="1"/>
  <c r="D538" i="1" s="1"/>
  <c r="D540" i="1" s="1"/>
  <c r="F530" i="1"/>
  <c r="F529" i="1"/>
  <c r="G525" i="1"/>
  <c r="G527" i="1" s="1"/>
  <c r="F309" i="1"/>
  <c r="F308" i="1"/>
  <c r="NH309" i="1"/>
  <c r="NH308" i="1"/>
  <c r="GN307" i="1"/>
  <c r="GM308" i="1"/>
  <c r="GM309" i="1"/>
  <c r="V308" i="1"/>
  <c r="W307" i="1"/>
  <c r="V309" i="1"/>
  <c r="G385" i="1"/>
  <c r="G387" i="1"/>
  <c r="G388" i="1" s="1"/>
  <c r="H379" i="1"/>
  <c r="H384" i="1"/>
  <c r="H386" i="1" s="1"/>
  <c r="H382" i="1"/>
  <c r="I375" i="1"/>
  <c r="H381" i="1"/>
  <c r="H380" i="1"/>
  <c r="H383" i="1"/>
  <c r="G389" i="1"/>
  <c r="G309" i="1"/>
  <c r="H307" i="1"/>
  <c r="G308" i="1"/>
  <c r="E46" i="1"/>
  <c r="G37" i="1"/>
  <c r="G40" i="1" s="1"/>
  <c r="F41" i="1"/>
  <c r="F42" i="1" s="1"/>
  <c r="H559" i="1" l="1"/>
  <c r="I559" i="1"/>
  <c r="I560" i="1" s="1"/>
  <c r="I568" i="1"/>
  <c r="I566" i="1"/>
  <c r="I558" i="1"/>
  <c r="H558" i="1"/>
  <c r="E534" i="1"/>
  <c r="E535" i="1" s="1"/>
  <c r="F528" i="1" s="1"/>
  <c r="F531" i="1" s="1"/>
  <c r="F532" i="1" s="1"/>
  <c r="F533" i="1" s="1"/>
  <c r="E536" i="1"/>
  <c r="E539" i="1"/>
  <c r="E537" i="1"/>
  <c r="G529" i="1"/>
  <c r="G530" i="1"/>
  <c r="I527" i="1"/>
  <c r="H525" i="1"/>
  <c r="H527" i="1" s="1"/>
  <c r="GN309" i="1"/>
  <c r="GO307" i="1"/>
  <c r="GN308" i="1"/>
  <c r="W309" i="1"/>
  <c r="W308" i="1"/>
  <c r="X307" i="1"/>
  <c r="H385" i="1"/>
  <c r="H387" i="1"/>
  <c r="H388" i="1" s="1"/>
  <c r="I380" i="1"/>
  <c r="I384" i="1"/>
  <c r="I379" i="1"/>
  <c r="I383" i="1"/>
  <c r="I382" i="1"/>
  <c r="J375" i="1"/>
  <c r="K375" i="1" s="1"/>
  <c r="I381" i="1"/>
  <c r="H309" i="1"/>
  <c r="H308" i="1"/>
  <c r="I307" i="1"/>
  <c r="F45" i="1"/>
  <c r="F46" i="1" s="1"/>
  <c r="H37" i="1"/>
  <c r="H40" i="1" s="1"/>
  <c r="G41" i="1"/>
  <c r="G42" i="1" s="1"/>
  <c r="I561" i="1" l="1"/>
  <c r="I562" i="1" s="1"/>
  <c r="I563" i="1" s="1"/>
  <c r="I564" i="1" s="1"/>
  <c r="H557" i="1" s="1"/>
  <c r="E538" i="1"/>
  <c r="E540" i="1" s="1"/>
  <c r="F534" i="1"/>
  <c r="F535" i="1" s="1"/>
  <c r="G528" i="1" s="1"/>
  <c r="F536" i="1"/>
  <c r="F539" i="1"/>
  <c r="F537" i="1"/>
  <c r="G531" i="1"/>
  <c r="G532" i="1" s="1"/>
  <c r="G533" i="1" s="1"/>
  <c r="H529" i="1"/>
  <c r="H530" i="1"/>
  <c r="I529" i="1"/>
  <c r="I530" i="1"/>
  <c r="GP307" i="1"/>
  <c r="GO308" i="1"/>
  <c r="GO309" i="1"/>
  <c r="Y307" i="1"/>
  <c r="X309" i="1"/>
  <c r="X308" i="1"/>
  <c r="L375" i="1"/>
  <c r="K379" i="1"/>
  <c r="K380" i="1"/>
  <c r="K381" i="1"/>
  <c r="K387" i="1" s="1"/>
  <c r="K382" i="1"/>
  <c r="K383" i="1"/>
  <c r="K384" i="1"/>
  <c r="K386" i="1" s="1"/>
  <c r="K389" i="1" s="1"/>
  <c r="I386" i="1"/>
  <c r="H389" i="1"/>
  <c r="I385" i="1"/>
  <c r="J381" i="1"/>
  <c r="J380" i="1"/>
  <c r="J384" i="1"/>
  <c r="J379" i="1"/>
  <c r="J383" i="1"/>
  <c r="J382" i="1"/>
  <c r="I387" i="1"/>
  <c r="I309" i="1"/>
  <c r="I308" i="1"/>
  <c r="J307" i="1"/>
  <c r="G45" i="1"/>
  <c r="G46" i="1" s="1"/>
  <c r="I37" i="1"/>
  <c r="I40" i="1" s="1"/>
  <c r="H41" i="1"/>
  <c r="H42" i="1" s="1"/>
  <c r="I565" i="1" l="1"/>
  <c r="I567" i="1" s="1"/>
  <c r="I569" i="1" s="1"/>
  <c r="H560" i="1"/>
  <c r="H561" i="1" s="1"/>
  <c r="H562" i="1" s="1"/>
  <c r="H566" i="1"/>
  <c r="H568" i="1"/>
  <c r="G534" i="1"/>
  <c r="G535" i="1" s="1"/>
  <c r="H528" i="1" s="1"/>
  <c r="H531" i="1" s="1"/>
  <c r="H532" i="1" s="1"/>
  <c r="H533" i="1" s="1"/>
  <c r="G536" i="1"/>
  <c r="F538" i="1"/>
  <c r="F540" i="1" s="1"/>
  <c r="G539" i="1"/>
  <c r="G537" i="1"/>
  <c r="GQ307" i="1"/>
  <c r="GP308" i="1"/>
  <c r="GP309" i="1"/>
  <c r="Z307" i="1"/>
  <c r="Y309" i="1"/>
  <c r="Y308" i="1"/>
  <c r="K385" i="1"/>
  <c r="K388" i="1" s="1"/>
  <c r="I389" i="1"/>
  <c r="L384" i="1"/>
  <c r="L379" i="1"/>
  <c r="L382" i="1"/>
  <c r="L380" i="1"/>
  <c r="M375" i="1"/>
  <c r="L381" i="1"/>
  <c r="L387" i="1" s="1"/>
  <c r="L383" i="1"/>
  <c r="J385" i="1"/>
  <c r="I388" i="1"/>
  <c r="J386" i="1"/>
  <c r="J387" i="1"/>
  <c r="J388" i="1" s="1"/>
  <c r="J309" i="1"/>
  <c r="J308" i="1"/>
  <c r="K307" i="1"/>
  <c r="H45" i="1"/>
  <c r="H46" i="1" s="1"/>
  <c r="J37" i="1"/>
  <c r="J40" i="1" s="1"/>
  <c r="I41" i="1"/>
  <c r="I42" i="1" s="1"/>
  <c r="H563" i="1" l="1"/>
  <c r="H564" i="1" s="1"/>
  <c r="G557" i="1" s="1"/>
  <c r="H565" i="1"/>
  <c r="H567" i="1" s="1"/>
  <c r="H569" i="1" s="1"/>
  <c r="G538" i="1"/>
  <c r="G540" i="1" s="1"/>
  <c r="H534" i="1"/>
  <c r="H535" i="1" s="1"/>
  <c r="I528" i="1" s="1"/>
  <c r="H536" i="1"/>
  <c r="H539" i="1"/>
  <c r="H537" i="1"/>
  <c r="GR307" i="1"/>
  <c r="GQ308" i="1"/>
  <c r="GQ309" i="1"/>
  <c r="AA307" i="1"/>
  <c r="Z309" i="1"/>
  <c r="Z308" i="1"/>
  <c r="M383" i="1"/>
  <c r="M382" i="1"/>
  <c r="N375" i="1"/>
  <c r="M381" i="1"/>
  <c r="M380" i="1"/>
  <c r="M379" i="1"/>
  <c r="M384" i="1"/>
  <c r="M386" i="1" s="1"/>
  <c r="L385" i="1"/>
  <c r="L388" i="1" s="1"/>
  <c r="L386" i="1"/>
  <c r="L389" i="1" s="1"/>
  <c r="J389" i="1"/>
  <c r="K308" i="1"/>
  <c r="K309" i="1"/>
  <c r="L307" i="1"/>
  <c r="M307" i="1" s="1"/>
  <c r="I45" i="1"/>
  <c r="I46" i="1" s="1"/>
  <c r="K37" i="1"/>
  <c r="K40" i="1" s="1"/>
  <c r="J41" i="1"/>
  <c r="J42" i="1" s="1"/>
  <c r="G560" i="1" l="1"/>
  <c r="G561" i="1" s="1"/>
  <c r="G562" i="1" s="1"/>
  <c r="G568" i="1"/>
  <c r="G566" i="1"/>
  <c r="I531" i="1"/>
  <c r="I532" i="1" s="1"/>
  <c r="I533" i="1" s="1"/>
  <c r="I539" i="1"/>
  <c r="I537" i="1"/>
  <c r="H538" i="1"/>
  <c r="H540" i="1" s="1"/>
  <c r="M308" i="1"/>
  <c r="M309" i="1"/>
  <c r="GS307" i="1"/>
  <c r="GR308" i="1"/>
  <c r="GR309" i="1"/>
  <c r="AB307" i="1"/>
  <c r="AA308" i="1"/>
  <c r="AA309" i="1"/>
  <c r="M387" i="1"/>
  <c r="M389" i="1" s="1"/>
  <c r="N381" i="1"/>
  <c r="N384" i="1"/>
  <c r="N379" i="1"/>
  <c r="N383" i="1"/>
  <c r="N382" i="1"/>
  <c r="N385" i="1" s="1"/>
  <c r="O375" i="1"/>
  <c r="N380" i="1"/>
  <c r="M385" i="1"/>
  <c r="M388" i="1" s="1"/>
  <c r="L308" i="1"/>
  <c r="L309" i="1"/>
  <c r="J45" i="1"/>
  <c r="J46" i="1" s="1"/>
  <c r="L37" i="1"/>
  <c r="L40" i="1" s="1"/>
  <c r="K41" i="1"/>
  <c r="K42" i="1" s="1"/>
  <c r="G563" i="1" l="1"/>
  <c r="G564" i="1" s="1"/>
  <c r="F557" i="1" s="1"/>
  <c r="G565" i="1"/>
  <c r="G567" i="1" s="1"/>
  <c r="G569" i="1" s="1"/>
  <c r="I534" i="1"/>
  <c r="I535" i="1" s="1"/>
  <c r="I536" i="1"/>
  <c r="I538" i="1" s="1"/>
  <c r="I540" i="1" s="1"/>
  <c r="GT307" i="1"/>
  <c r="GS308" i="1"/>
  <c r="GS309" i="1"/>
  <c r="AB308" i="1"/>
  <c r="AC307" i="1"/>
  <c r="AB309" i="1"/>
  <c r="P375" i="1"/>
  <c r="O382" i="1"/>
  <c r="O381" i="1"/>
  <c r="O387" i="1" s="1"/>
  <c r="O380" i="1"/>
  <c r="O384" i="1"/>
  <c r="O379" i="1"/>
  <c r="O383" i="1"/>
  <c r="N386" i="1"/>
  <c r="N389" i="1" s="1"/>
  <c r="N387" i="1"/>
  <c r="N388" i="1" s="1"/>
  <c r="K45" i="1"/>
  <c r="K46" i="1" s="1"/>
  <c r="M37" i="1"/>
  <c r="M40" i="1" s="1"/>
  <c r="M41" i="1" s="1"/>
  <c r="M42" i="1" s="1"/>
  <c r="M45" i="1" s="1"/>
  <c r="L41" i="1"/>
  <c r="L42" i="1" s="1"/>
  <c r="F560" i="1" l="1"/>
  <c r="F561" i="1" s="1"/>
  <c r="F562" i="1" s="1"/>
  <c r="F566" i="1"/>
  <c r="F568" i="1"/>
  <c r="GU307" i="1"/>
  <c r="GT308" i="1"/>
  <c r="GT309" i="1"/>
  <c r="AC308" i="1"/>
  <c r="AC309" i="1"/>
  <c r="AD307" i="1"/>
  <c r="O386" i="1"/>
  <c r="O389" i="1" s="1"/>
  <c r="O385" i="1"/>
  <c r="O388" i="1" s="1"/>
  <c r="P380" i="1"/>
  <c r="P384" i="1"/>
  <c r="P383" i="1"/>
  <c r="P382" i="1"/>
  <c r="P385" i="1" s="1"/>
  <c r="P379" i="1"/>
  <c r="Q375" i="1"/>
  <c r="P381" i="1"/>
  <c r="L45" i="1"/>
  <c r="L46" i="1" s="1"/>
  <c r="M46" i="1" s="1"/>
  <c r="F563" i="1" l="1"/>
  <c r="F564" i="1" s="1"/>
  <c r="E557" i="1" s="1"/>
  <c r="F565" i="1"/>
  <c r="F567" i="1" s="1"/>
  <c r="F569" i="1" s="1"/>
  <c r="GV307" i="1"/>
  <c r="GU308" i="1"/>
  <c r="GU309" i="1"/>
  <c r="AD308" i="1"/>
  <c r="AE307" i="1"/>
  <c r="AD309" i="1"/>
  <c r="P386" i="1"/>
  <c r="P387" i="1"/>
  <c r="P388" i="1" s="1"/>
  <c r="Q381" i="1"/>
  <c r="Q383" i="1"/>
  <c r="Q382" i="1"/>
  <c r="Q385" i="1" s="1"/>
  <c r="R375" i="1"/>
  <c r="Q380" i="1"/>
  <c r="Q384" i="1"/>
  <c r="Q379" i="1"/>
  <c r="U325" i="1"/>
  <c r="V325" i="1" s="1"/>
  <c r="W325" i="1" s="1"/>
  <c r="X325" i="1" s="1"/>
  <c r="Y325" i="1" s="1"/>
  <c r="Z325" i="1" s="1"/>
  <c r="AA325" i="1" s="1"/>
  <c r="AB325" i="1" s="1"/>
  <c r="AC325" i="1" s="1"/>
  <c r="AD325" i="1" s="1"/>
  <c r="U326" i="1" s="1"/>
  <c r="V326" i="1" s="1"/>
  <c r="W326" i="1" s="1"/>
  <c r="X326" i="1" s="1"/>
  <c r="Y326" i="1" s="1"/>
  <c r="Z326" i="1" s="1"/>
  <c r="AA326" i="1" s="1"/>
  <c r="AB326" i="1" s="1"/>
  <c r="AC326" i="1" s="1"/>
  <c r="AD326" i="1" s="1"/>
  <c r="U327" i="1" s="1"/>
  <c r="V327" i="1" s="1"/>
  <c r="W327" i="1" s="1"/>
  <c r="X327" i="1" s="1"/>
  <c r="Y327" i="1" s="1"/>
  <c r="Z327" i="1" s="1"/>
  <c r="AA327" i="1" s="1"/>
  <c r="AB327" i="1" s="1"/>
  <c r="AC327" i="1" s="1"/>
  <c r="AD327" i="1" s="1"/>
  <c r="U328" i="1" s="1"/>
  <c r="V328" i="1" s="1"/>
  <c r="W328" i="1" s="1"/>
  <c r="X328" i="1" s="1"/>
  <c r="Y328" i="1" s="1"/>
  <c r="Z328" i="1" s="1"/>
  <c r="AA328" i="1" s="1"/>
  <c r="AB328" i="1" s="1"/>
  <c r="AC328" i="1" s="1"/>
  <c r="AD328" i="1" s="1"/>
  <c r="U329" i="1" s="1"/>
  <c r="V329" i="1" s="1"/>
  <c r="W329" i="1" s="1"/>
  <c r="X329" i="1" s="1"/>
  <c r="Y329" i="1" s="1"/>
  <c r="Z329" i="1" s="1"/>
  <c r="AA329" i="1" s="1"/>
  <c r="AB329" i="1" s="1"/>
  <c r="AC329" i="1" s="1"/>
  <c r="AD329" i="1" s="1"/>
  <c r="U330" i="1" s="1"/>
  <c r="V330" i="1" s="1"/>
  <c r="W330" i="1" s="1"/>
  <c r="X330" i="1" s="1"/>
  <c r="Y330" i="1" s="1"/>
  <c r="Z330" i="1" s="1"/>
  <c r="AA330" i="1" s="1"/>
  <c r="AB330" i="1" s="1"/>
  <c r="AC330" i="1" s="1"/>
  <c r="AD330" i="1" s="1"/>
  <c r="U331" i="1" s="1"/>
  <c r="V331" i="1" s="1"/>
  <c r="W331" i="1" s="1"/>
  <c r="X331" i="1" s="1"/>
  <c r="Y331" i="1" s="1"/>
  <c r="Z331" i="1" s="1"/>
  <c r="AA331" i="1" s="1"/>
  <c r="AB331" i="1" s="1"/>
  <c r="AC331" i="1" s="1"/>
  <c r="AD331" i="1" s="1"/>
  <c r="U332" i="1" s="1"/>
  <c r="V332" i="1" s="1"/>
  <c r="W332" i="1" s="1"/>
  <c r="X332" i="1" s="1"/>
  <c r="Y332" i="1" s="1"/>
  <c r="Z332" i="1" s="1"/>
  <c r="AA332" i="1" s="1"/>
  <c r="AB332" i="1" s="1"/>
  <c r="AC332" i="1" s="1"/>
  <c r="AD332" i="1" s="1"/>
  <c r="U333" i="1" s="1"/>
  <c r="V333" i="1" s="1"/>
  <c r="W333" i="1" s="1"/>
  <c r="X333" i="1" s="1"/>
  <c r="Y333" i="1" s="1"/>
  <c r="Z333" i="1" s="1"/>
  <c r="AA333" i="1" s="1"/>
  <c r="AB333" i="1" s="1"/>
  <c r="AC333" i="1" s="1"/>
  <c r="AD333" i="1" s="1"/>
  <c r="U334" i="1" s="1"/>
  <c r="V334" i="1" s="1"/>
  <c r="W334" i="1" s="1"/>
  <c r="X334" i="1" s="1"/>
  <c r="Y334" i="1" s="1"/>
  <c r="Z334" i="1" s="1"/>
  <c r="AA334" i="1" s="1"/>
  <c r="AB334" i="1" s="1"/>
  <c r="AC334" i="1" s="1"/>
  <c r="AD334" i="1" s="1"/>
  <c r="U335" i="1" s="1"/>
  <c r="V335" i="1" s="1"/>
  <c r="W335" i="1" s="1"/>
  <c r="X335" i="1" s="1"/>
  <c r="Y335" i="1" s="1"/>
  <c r="Z335" i="1" s="1"/>
  <c r="AA335" i="1" s="1"/>
  <c r="AB335" i="1" s="1"/>
  <c r="AC335" i="1" s="1"/>
  <c r="AD335" i="1" s="1"/>
  <c r="U336" i="1" s="1"/>
  <c r="V336" i="1" s="1"/>
  <c r="W336" i="1" s="1"/>
  <c r="X336" i="1" s="1"/>
  <c r="Y336" i="1" s="1"/>
  <c r="Z336" i="1" s="1"/>
  <c r="AA336" i="1" s="1"/>
  <c r="AB336" i="1" s="1"/>
  <c r="AC336" i="1" s="1"/>
  <c r="AD336" i="1" s="1"/>
  <c r="U337" i="1" s="1"/>
  <c r="V337" i="1" s="1"/>
  <c r="W337" i="1" s="1"/>
  <c r="X337" i="1" s="1"/>
  <c r="Y337" i="1" s="1"/>
  <c r="Z337" i="1" s="1"/>
  <c r="AA337" i="1" s="1"/>
  <c r="AB337" i="1" s="1"/>
  <c r="AC337" i="1" s="1"/>
  <c r="AD337" i="1" s="1"/>
  <c r="U338" i="1" s="1"/>
  <c r="V338" i="1" s="1"/>
  <c r="W338" i="1" s="1"/>
  <c r="X338" i="1" s="1"/>
  <c r="Y338" i="1" s="1"/>
  <c r="Z338" i="1" s="1"/>
  <c r="AA338" i="1" s="1"/>
  <c r="AB338" i="1" s="1"/>
  <c r="AC338" i="1" s="1"/>
  <c r="AD338" i="1" s="1"/>
  <c r="U339" i="1" s="1"/>
  <c r="V339" i="1" s="1"/>
  <c r="W339" i="1" s="1"/>
  <c r="X339" i="1" s="1"/>
  <c r="Y339" i="1" s="1"/>
  <c r="Z339" i="1" s="1"/>
  <c r="AA339" i="1" s="1"/>
  <c r="AB339" i="1" s="1"/>
  <c r="AC339" i="1" s="1"/>
  <c r="AD339" i="1" s="1"/>
  <c r="U340" i="1" s="1"/>
  <c r="V340" i="1" s="1"/>
  <c r="W340" i="1" s="1"/>
  <c r="X340" i="1" s="1"/>
  <c r="Y340" i="1" s="1"/>
  <c r="Z340" i="1" s="1"/>
  <c r="AA340" i="1" s="1"/>
  <c r="AB340" i="1" s="1"/>
  <c r="AC340" i="1" s="1"/>
  <c r="AD340" i="1" s="1"/>
  <c r="U341" i="1" s="1"/>
  <c r="V341" i="1" s="1"/>
  <c r="W341" i="1" s="1"/>
  <c r="X341" i="1" s="1"/>
  <c r="Y341" i="1" s="1"/>
  <c r="Z341" i="1" s="1"/>
  <c r="AA341" i="1" s="1"/>
  <c r="AB341" i="1" s="1"/>
  <c r="AC341" i="1" s="1"/>
  <c r="AD341" i="1" s="1"/>
  <c r="U342" i="1" s="1"/>
  <c r="V342" i="1" s="1"/>
  <c r="W342" i="1" s="1"/>
  <c r="X342" i="1" s="1"/>
  <c r="Y342" i="1" s="1"/>
  <c r="Z342" i="1" s="1"/>
  <c r="AA342" i="1" s="1"/>
  <c r="AB342" i="1" s="1"/>
  <c r="AC342" i="1" s="1"/>
  <c r="AD342" i="1" s="1"/>
  <c r="U343" i="1" s="1"/>
  <c r="V343" i="1" s="1"/>
  <c r="W343" i="1" s="1"/>
  <c r="X343" i="1" s="1"/>
  <c r="Y343" i="1" s="1"/>
  <c r="Z343" i="1" s="1"/>
  <c r="AA343" i="1" s="1"/>
  <c r="AB343" i="1" s="1"/>
  <c r="AC343" i="1" s="1"/>
  <c r="AD343" i="1" s="1"/>
  <c r="U344" i="1" s="1"/>
  <c r="V344" i="1" s="1"/>
  <c r="W344" i="1" s="1"/>
  <c r="X344" i="1" s="1"/>
  <c r="Y344" i="1" s="1"/>
  <c r="Z344" i="1" s="1"/>
  <c r="AA344" i="1" s="1"/>
  <c r="AB344" i="1" s="1"/>
  <c r="AC344" i="1" s="1"/>
  <c r="AD344" i="1" s="1"/>
  <c r="U345" i="1" s="1"/>
  <c r="V345" i="1" s="1"/>
  <c r="W345" i="1" s="1"/>
  <c r="X345" i="1" s="1"/>
  <c r="Y345" i="1" s="1"/>
  <c r="Z345" i="1" s="1"/>
  <c r="AA345" i="1" s="1"/>
  <c r="AB345" i="1" s="1"/>
  <c r="AC345" i="1" s="1"/>
  <c r="AD345" i="1" s="1"/>
  <c r="U346" i="1" s="1"/>
  <c r="V346" i="1" s="1"/>
  <c r="W346" i="1" s="1"/>
  <c r="X346" i="1" s="1"/>
  <c r="Y346" i="1" s="1"/>
  <c r="Z346" i="1" s="1"/>
  <c r="AA346" i="1" s="1"/>
  <c r="AB346" i="1" s="1"/>
  <c r="AC346" i="1" s="1"/>
  <c r="AD346" i="1" s="1"/>
  <c r="U347" i="1" s="1"/>
  <c r="V347" i="1" s="1"/>
  <c r="W347" i="1" s="1"/>
  <c r="X347" i="1" s="1"/>
  <c r="Y347" i="1" s="1"/>
  <c r="Z347" i="1" s="1"/>
  <c r="AA347" i="1" s="1"/>
  <c r="AB347" i="1" s="1"/>
  <c r="AC347" i="1" s="1"/>
  <c r="AD347" i="1" s="1"/>
  <c r="U348" i="1" s="1"/>
  <c r="V348" i="1" s="1"/>
  <c r="W348" i="1" s="1"/>
  <c r="X348" i="1" s="1"/>
  <c r="Y348" i="1" s="1"/>
  <c r="Z348" i="1" s="1"/>
  <c r="AA348" i="1" s="1"/>
  <c r="AB348" i="1" s="1"/>
  <c r="AC348" i="1" s="1"/>
  <c r="AD348" i="1" s="1"/>
  <c r="U349" i="1" s="1"/>
  <c r="V349" i="1" s="1"/>
  <c r="W349" i="1" s="1"/>
  <c r="X349" i="1" s="1"/>
  <c r="Y349" i="1" s="1"/>
  <c r="Z349" i="1" s="1"/>
  <c r="AA349" i="1" s="1"/>
  <c r="AB349" i="1" s="1"/>
  <c r="AC349" i="1" s="1"/>
  <c r="AD349" i="1" s="1"/>
  <c r="U350" i="1" s="1"/>
  <c r="V350" i="1" s="1"/>
  <c r="W350" i="1" s="1"/>
  <c r="X350" i="1" s="1"/>
  <c r="Y350" i="1" s="1"/>
  <c r="Z350" i="1" s="1"/>
  <c r="AA350" i="1" s="1"/>
  <c r="AB350" i="1" s="1"/>
  <c r="AC350" i="1" s="1"/>
  <c r="AD350" i="1" s="1"/>
  <c r="U351" i="1" s="1"/>
  <c r="V351" i="1" s="1"/>
  <c r="W351" i="1" s="1"/>
  <c r="X351" i="1" s="1"/>
  <c r="Y351" i="1" s="1"/>
  <c r="Z351" i="1" s="1"/>
  <c r="AA351" i="1" s="1"/>
  <c r="AB351" i="1" s="1"/>
  <c r="AC351" i="1" s="1"/>
  <c r="AD351" i="1" s="1"/>
  <c r="U352" i="1" s="1"/>
  <c r="V352" i="1" s="1"/>
  <c r="W352" i="1" s="1"/>
  <c r="X352" i="1" s="1"/>
  <c r="Y352" i="1" s="1"/>
  <c r="Z352" i="1" s="1"/>
  <c r="AA352" i="1" s="1"/>
  <c r="AB352" i="1" s="1"/>
  <c r="AC352" i="1" s="1"/>
  <c r="AD352" i="1" s="1"/>
  <c r="U353" i="1" s="1"/>
  <c r="V353" i="1" s="1"/>
  <c r="W353" i="1" s="1"/>
  <c r="X353" i="1" s="1"/>
  <c r="Y353" i="1" s="1"/>
  <c r="Z353" i="1" s="1"/>
  <c r="AA353" i="1" s="1"/>
  <c r="AB353" i="1" s="1"/>
  <c r="AC353" i="1" s="1"/>
  <c r="AD353" i="1" s="1"/>
  <c r="U354" i="1" s="1"/>
  <c r="V354" i="1" s="1"/>
  <c r="W354" i="1" s="1"/>
  <c r="X354" i="1" s="1"/>
  <c r="Y354" i="1" s="1"/>
  <c r="Z354" i="1" s="1"/>
  <c r="AA354" i="1" s="1"/>
  <c r="AB354" i="1" s="1"/>
  <c r="AC354" i="1" s="1"/>
  <c r="AD354" i="1" s="1"/>
  <c r="U355" i="1" s="1"/>
  <c r="V355" i="1" s="1"/>
  <c r="W355" i="1" s="1"/>
  <c r="X355" i="1" s="1"/>
  <c r="Y355" i="1" s="1"/>
  <c r="Z355" i="1" s="1"/>
  <c r="AA355" i="1" s="1"/>
  <c r="AB355" i="1" s="1"/>
  <c r="AC355" i="1" s="1"/>
  <c r="AD355" i="1" s="1"/>
  <c r="U356" i="1" s="1"/>
  <c r="V356" i="1" s="1"/>
  <c r="W356" i="1" s="1"/>
  <c r="X356" i="1" s="1"/>
  <c r="Y356" i="1" s="1"/>
  <c r="Z356" i="1" s="1"/>
  <c r="AA356" i="1" s="1"/>
  <c r="AB356" i="1" s="1"/>
  <c r="AC356" i="1" s="1"/>
  <c r="AD356" i="1" s="1"/>
  <c r="U357" i="1" s="1"/>
  <c r="V357" i="1" s="1"/>
  <c r="W357" i="1" s="1"/>
  <c r="X357" i="1" s="1"/>
  <c r="Y357" i="1" s="1"/>
  <c r="Z357" i="1" s="1"/>
  <c r="AA357" i="1" s="1"/>
  <c r="AB357" i="1" s="1"/>
  <c r="AC357" i="1" s="1"/>
  <c r="AD357" i="1" s="1"/>
  <c r="U358" i="1" s="1"/>
  <c r="V358" i="1" s="1"/>
  <c r="W358" i="1" s="1"/>
  <c r="X358" i="1" s="1"/>
  <c r="Y358" i="1" s="1"/>
  <c r="Z358" i="1" s="1"/>
  <c r="AA358" i="1" s="1"/>
  <c r="AB358" i="1" s="1"/>
  <c r="AC358" i="1" s="1"/>
  <c r="AD358" i="1" s="1"/>
  <c r="U359" i="1" s="1"/>
  <c r="V359" i="1" s="1"/>
  <c r="W359" i="1" s="1"/>
  <c r="X359" i="1" s="1"/>
  <c r="Y359" i="1" s="1"/>
  <c r="Z359" i="1" s="1"/>
  <c r="AA359" i="1" s="1"/>
  <c r="AB359" i="1" s="1"/>
  <c r="AC359" i="1" s="1"/>
  <c r="AD359" i="1" s="1"/>
  <c r="U360" i="1" s="1"/>
  <c r="V360" i="1" s="1"/>
  <c r="W360" i="1" s="1"/>
  <c r="X360" i="1" s="1"/>
  <c r="Y360" i="1" s="1"/>
  <c r="Z360" i="1" s="1"/>
  <c r="AA360" i="1" s="1"/>
  <c r="AB360" i="1" s="1"/>
  <c r="AC360" i="1" s="1"/>
  <c r="AD360" i="1" s="1"/>
  <c r="U361" i="1" s="1"/>
  <c r="V361" i="1" s="1"/>
  <c r="W361" i="1" s="1"/>
  <c r="X361" i="1" s="1"/>
  <c r="Y361" i="1" s="1"/>
  <c r="Z361" i="1" s="1"/>
  <c r="AA361" i="1" s="1"/>
  <c r="AB361" i="1" s="1"/>
  <c r="AC361" i="1" s="1"/>
  <c r="AD361" i="1" s="1"/>
  <c r="U362" i="1" s="1"/>
  <c r="V362" i="1" s="1"/>
  <c r="W362" i="1" s="1"/>
  <c r="X362" i="1" s="1"/>
  <c r="Y362" i="1" s="1"/>
  <c r="Z362" i="1" s="1"/>
  <c r="AA362" i="1" s="1"/>
  <c r="AB362" i="1" s="1"/>
  <c r="AC362" i="1" s="1"/>
  <c r="AD362" i="1" s="1"/>
  <c r="U363" i="1" s="1"/>
  <c r="V363" i="1" s="1"/>
  <c r="W363" i="1" s="1"/>
  <c r="X363" i="1" s="1"/>
  <c r="Y363" i="1" s="1"/>
  <c r="Z363" i="1" s="1"/>
  <c r="AA363" i="1" s="1"/>
  <c r="AB363" i="1" s="1"/>
  <c r="AC363" i="1" s="1"/>
  <c r="AD363" i="1" s="1"/>
  <c r="U364" i="1" s="1"/>
  <c r="V364" i="1" s="1"/>
  <c r="W364" i="1" s="1"/>
  <c r="X364" i="1" s="1"/>
  <c r="Y364" i="1" s="1"/>
  <c r="Z364" i="1" s="1"/>
  <c r="AA364" i="1" s="1"/>
  <c r="AB364" i="1" s="1"/>
  <c r="AC364" i="1" s="1"/>
  <c r="AD364" i="1" s="1"/>
  <c r="U365" i="1" s="1"/>
  <c r="V365" i="1" s="1"/>
  <c r="W365" i="1" s="1"/>
  <c r="X365" i="1" s="1"/>
  <c r="Y365" i="1" s="1"/>
  <c r="Z365" i="1" s="1"/>
  <c r="AA365" i="1" s="1"/>
  <c r="AB365" i="1" s="1"/>
  <c r="AC365" i="1" s="1"/>
  <c r="AD365" i="1" s="1"/>
  <c r="U366" i="1" s="1"/>
  <c r="V366" i="1" s="1"/>
  <c r="W366" i="1" s="1"/>
  <c r="X366" i="1" s="1"/>
  <c r="Y366" i="1" s="1"/>
  <c r="Z366" i="1" s="1"/>
  <c r="AA366" i="1" s="1"/>
  <c r="AB366" i="1" s="1"/>
  <c r="AC366" i="1" s="1"/>
  <c r="AD366" i="1" s="1"/>
  <c r="U367" i="1" s="1"/>
  <c r="V367" i="1" s="1"/>
  <c r="W367" i="1" s="1"/>
  <c r="X367" i="1" s="1"/>
  <c r="Y367" i="1" s="1"/>
  <c r="Z367" i="1" s="1"/>
  <c r="AA367" i="1" s="1"/>
  <c r="AB367" i="1" s="1"/>
  <c r="AC367" i="1" s="1"/>
  <c r="AD367" i="1" s="1"/>
  <c r="U368" i="1" s="1"/>
  <c r="V368" i="1" s="1"/>
  <c r="W368" i="1" s="1"/>
  <c r="X368" i="1" s="1"/>
  <c r="Y368" i="1" s="1"/>
  <c r="Z368" i="1" s="1"/>
  <c r="AA368" i="1" s="1"/>
  <c r="AB368" i="1" s="1"/>
  <c r="AC368" i="1" s="1"/>
  <c r="AD368" i="1" s="1"/>
  <c r="U369" i="1" s="1"/>
  <c r="V369" i="1" s="1"/>
  <c r="W369" i="1" s="1"/>
  <c r="X369" i="1" s="1"/>
  <c r="Y369" i="1" s="1"/>
  <c r="Z369" i="1" s="1"/>
  <c r="AA369" i="1" s="1"/>
  <c r="AB369" i="1" s="1"/>
  <c r="AC369" i="1" s="1"/>
  <c r="AD369" i="1" s="1"/>
  <c r="U370" i="1" s="1"/>
  <c r="V370" i="1" s="1"/>
  <c r="W370" i="1" s="1"/>
  <c r="X370" i="1" s="1"/>
  <c r="Y370" i="1" s="1"/>
  <c r="Z370" i="1" s="1"/>
  <c r="AA370" i="1" s="1"/>
  <c r="AB370" i="1" s="1"/>
  <c r="AC370" i="1" s="1"/>
  <c r="AD370" i="1" s="1"/>
  <c r="U371" i="1" s="1"/>
  <c r="V371" i="1" s="1"/>
  <c r="W371" i="1" s="1"/>
  <c r="X371" i="1" s="1"/>
  <c r="Y371" i="1" s="1"/>
  <c r="Z371" i="1" s="1"/>
  <c r="AA371" i="1" s="1"/>
  <c r="AB371" i="1" s="1"/>
  <c r="AC371" i="1" s="1"/>
  <c r="AD371" i="1" s="1"/>
  <c r="E560" i="1" l="1"/>
  <c r="E561" i="1" s="1"/>
  <c r="E562" i="1" s="1"/>
  <c r="E568" i="1"/>
  <c r="E566" i="1"/>
  <c r="GV309" i="1"/>
  <c r="GW307" i="1"/>
  <c r="GV308" i="1"/>
  <c r="AE309" i="1"/>
  <c r="AE308" i="1"/>
  <c r="AF307" i="1"/>
  <c r="Q387" i="1"/>
  <c r="Q388" i="1" s="1"/>
  <c r="R381" i="1"/>
  <c r="R383" i="1"/>
  <c r="S375" i="1"/>
  <c r="R379" i="1"/>
  <c r="R380" i="1"/>
  <c r="R384" i="1"/>
  <c r="R386" i="1" s="1"/>
  <c r="R382" i="1"/>
  <c r="R385" i="1" s="1"/>
  <c r="Q386" i="1"/>
  <c r="Q389" i="1" s="1"/>
  <c r="P389" i="1"/>
  <c r="AE325" i="1"/>
  <c r="AE326" i="1" s="1"/>
  <c r="AE327" i="1" s="1"/>
  <c r="AE328" i="1" s="1"/>
  <c r="AE329" i="1" s="1"/>
  <c r="AE330" i="1" s="1"/>
  <c r="AE331" i="1" s="1"/>
  <c r="AE332" i="1" s="1"/>
  <c r="AE333" i="1" s="1"/>
  <c r="AE334" i="1" s="1"/>
  <c r="AE335" i="1" s="1"/>
  <c r="AE336" i="1" s="1"/>
  <c r="AE337" i="1" s="1"/>
  <c r="AE338" i="1" s="1"/>
  <c r="AE339" i="1" s="1"/>
  <c r="AE340" i="1" s="1"/>
  <c r="AE341" i="1" s="1"/>
  <c r="AE342" i="1" s="1"/>
  <c r="AE343" i="1" s="1"/>
  <c r="AE344" i="1" s="1"/>
  <c r="AE345" i="1" s="1"/>
  <c r="AE346" i="1" s="1"/>
  <c r="AE347" i="1" s="1"/>
  <c r="AE348" i="1" s="1"/>
  <c r="AE349" i="1" s="1"/>
  <c r="AE350" i="1" s="1"/>
  <c r="AE351" i="1" s="1"/>
  <c r="AE352" i="1" s="1"/>
  <c r="AE353" i="1" s="1"/>
  <c r="AE354" i="1" s="1"/>
  <c r="AE355" i="1" s="1"/>
  <c r="AE356" i="1" s="1"/>
  <c r="AE357" i="1" s="1"/>
  <c r="AE358" i="1" s="1"/>
  <c r="AE359" i="1" s="1"/>
  <c r="AE360" i="1" s="1"/>
  <c r="AE361" i="1" s="1"/>
  <c r="AE362" i="1" s="1"/>
  <c r="AE363" i="1" s="1"/>
  <c r="AE364" i="1" s="1"/>
  <c r="AE365" i="1" s="1"/>
  <c r="AE366" i="1" s="1"/>
  <c r="AE367" i="1" s="1"/>
  <c r="AE368" i="1" s="1"/>
  <c r="AE369" i="1" s="1"/>
  <c r="AE370" i="1" s="1"/>
  <c r="AE371" i="1" s="1"/>
  <c r="E563" i="1" l="1"/>
  <c r="E564" i="1" s="1"/>
  <c r="D557" i="1" s="1"/>
  <c r="E565" i="1"/>
  <c r="E567" i="1" s="1"/>
  <c r="E569" i="1" s="1"/>
  <c r="GX307" i="1"/>
  <c r="GW308" i="1"/>
  <c r="GW309" i="1"/>
  <c r="AG307" i="1"/>
  <c r="AF309" i="1"/>
  <c r="AF308" i="1"/>
  <c r="S383" i="1"/>
  <c r="S382" i="1"/>
  <c r="S385" i="1" s="1"/>
  <c r="S381" i="1"/>
  <c r="S380" i="1"/>
  <c r="S384" i="1"/>
  <c r="S379" i="1"/>
  <c r="T375" i="1"/>
  <c r="R389" i="1"/>
  <c r="R387" i="1"/>
  <c r="R388" i="1" s="1"/>
  <c r="D560" i="1" l="1"/>
  <c r="D561" i="1" s="1"/>
  <c r="D562" i="1" s="1"/>
  <c r="D568" i="1"/>
  <c r="D566" i="1"/>
  <c r="GY307" i="1"/>
  <c r="GX308" i="1"/>
  <c r="GX309" i="1"/>
  <c r="AH307" i="1"/>
  <c r="AG309" i="1"/>
  <c r="AG308" i="1"/>
  <c r="S387" i="1"/>
  <c r="T383" i="1"/>
  <c r="U375" i="1"/>
  <c r="T381" i="1"/>
  <c r="T380" i="1"/>
  <c r="T382" i="1"/>
  <c r="T385" i="1" s="1"/>
  <c r="T384" i="1"/>
  <c r="T379" i="1"/>
  <c r="S388" i="1"/>
  <c r="S386" i="1"/>
  <c r="S389" i="1" s="1"/>
  <c r="D563" i="1" l="1"/>
  <c r="D564" i="1" s="1"/>
  <c r="C557" i="1" s="1"/>
  <c r="D565" i="1"/>
  <c r="D567" i="1" s="1"/>
  <c r="D569" i="1" s="1"/>
  <c r="GZ307" i="1"/>
  <c r="GY308" i="1"/>
  <c r="GY309" i="1"/>
  <c r="AI307" i="1"/>
  <c r="AH309" i="1"/>
  <c r="AH308" i="1"/>
  <c r="T386" i="1"/>
  <c r="T387" i="1"/>
  <c r="T388" i="1" s="1"/>
  <c r="U380" i="1"/>
  <c r="U384" i="1"/>
  <c r="U379" i="1"/>
  <c r="U383" i="1"/>
  <c r="U382" i="1"/>
  <c r="U385" i="1" s="1"/>
  <c r="V375" i="1"/>
  <c r="U381" i="1"/>
  <c r="C560" i="1" l="1"/>
  <c r="C561" i="1" s="1"/>
  <c r="C562" i="1" s="1"/>
  <c r="C566" i="1"/>
  <c r="C568" i="1"/>
  <c r="HA307" i="1"/>
  <c r="GZ308" i="1"/>
  <c r="GZ309" i="1"/>
  <c r="AJ307" i="1"/>
  <c r="AI309" i="1"/>
  <c r="AI308" i="1"/>
  <c r="U386" i="1"/>
  <c r="U387" i="1"/>
  <c r="U388" i="1" s="1"/>
  <c r="V380" i="1"/>
  <c r="V384" i="1"/>
  <c r="V381" i="1"/>
  <c r="V387" i="1" s="1"/>
  <c r="V383" i="1"/>
  <c r="V382" i="1"/>
  <c r="W375" i="1"/>
  <c r="V379" i="1"/>
  <c r="T389" i="1"/>
  <c r="C563" i="1" l="1"/>
  <c r="C564" i="1" s="1"/>
  <c r="B557" i="1" s="1"/>
  <c r="C565" i="1"/>
  <c r="C567" i="1" s="1"/>
  <c r="C569" i="1" s="1"/>
  <c r="HA309" i="1"/>
  <c r="HB307" i="1"/>
  <c r="HA308" i="1"/>
  <c r="AJ308" i="1"/>
  <c r="AK307" i="1"/>
  <c r="AJ309" i="1"/>
  <c r="V385" i="1"/>
  <c r="V388" i="1" s="1"/>
  <c r="U389" i="1"/>
  <c r="W382" i="1"/>
  <c r="W381" i="1"/>
  <c r="X375" i="1"/>
  <c r="Y375" i="1" s="1"/>
  <c r="W379" i="1"/>
  <c r="W380" i="1"/>
  <c r="W384" i="1"/>
  <c r="W386" i="1" s="1"/>
  <c r="W383" i="1"/>
  <c r="V386" i="1"/>
  <c r="V389" i="1" s="1"/>
  <c r="B560" i="1" l="1"/>
  <c r="B561" i="1" s="1"/>
  <c r="B562" i="1" s="1"/>
  <c r="B568" i="1"/>
  <c r="B566" i="1"/>
  <c r="HC307" i="1"/>
  <c r="HB308" i="1"/>
  <c r="HB309" i="1"/>
  <c r="AK308" i="1"/>
  <c r="AK309" i="1"/>
  <c r="AL307" i="1"/>
  <c r="Z375" i="1"/>
  <c r="Y382" i="1"/>
  <c r="Y383" i="1"/>
  <c r="Y379" i="1"/>
  <c r="Y381" i="1"/>
  <c r="Y384" i="1"/>
  <c r="Y386" i="1" s="1"/>
  <c r="Y380" i="1"/>
  <c r="W387" i="1"/>
  <c r="W389" i="1" s="1"/>
  <c r="X381" i="1"/>
  <c r="X380" i="1"/>
  <c r="X379" i="1"/>
  <c r="X383" i="1"/>
  <c r="X384" i="1"/>
  <c r="X386" i="1" s="1"/>
  <c r="X382" i="1"/>
  <c r="X385" i="1" s="1"/>
  <c r="W385" i="1"/>
  <c r="B563" i="1" l="1"/>
  <c r="B564" i="1" s="1"/>
  <c r="B565" i="1"/>
  <c r="B567" i="1" s="1"/>
  <c r="B569" i="1" s="1"/>
  <c r="HD307" i="1"/>
  <c r="HC308" i="1"/>
  <c r="HC309" i="1"/>
  <c r="AL308" i="1"/>
  <c r="AM307" i="1"/>
  <c r="AL309" i="1"/>
  <c r="W388" i="1"/>
  <c r="Y385" i="1"/>
  <c r="Y387" i="1"/>
  <c r="Y389" i="1" s="1"/>
  <c r="X387" i="1"/>
  <c r="X388" i="1" s="1"/>
  <c r="Z379" i="1"/>
  <c r="Z383" i="1"/>
  <c r="Z382" i="1"/>
  <c r="Z385" i="1" s="1"/>
  <c r="Z380" i="1"/>
  <c r="Z384" i="1"/>
  <c r="Z381" i="1"/>
  <c r="Z387" i="1" s="1"/>
  <c r="HD309" i="1" l="1"/>
  <c r="HE307" i="1"/>
  <c r="HD308" i="1"/>
  <c r="AM309" i="1"/>
  <c r="AM308" i="1"/>
  <c r="AN307" i="1"/>
  <c r="Y388" i="1"/>
  <c r="Z386" i="1"/>
  <c r="Z389" i="1" s="1"/>
  <c r="X389" i="1"/>
  <c r="Z388" i="1"/>
  <c r="HF307" i="1" l="1"/>
  <c r="HE308" i="1"/>
  <c r="HE309" i="1"/>
  <c r="AO307" i="1"/>
  <c r="AN309" i="1"/>
  <c r="AN308" i="1"/>
  <c r="HG307" i="1" l="1"/>
  <c r="HF308" i="1"/>
  <c r="HF309" i="1"/>
  <c r="AP307" i="1"/>
  <c r="AO309" i="1"/>
  <c r="AO308" i="1"/>
  <c r="HH307" i="1" l="1"/>
  <c r="HG308" i="1"/>
  <c r="HG309" i="1"/>
  <c r="AQ307" i="1"/>
  <c r="AP309" i="1"/>
  <c r="AP308" i="1"/>
  <c r="HI307" i="1" l="1"/>
  <c r="HH308" i="1"/>
  <c r="HH309" i="1"/>
  <c r="AR307" i="1"/>
  <c r="AQ309" i="1"/>
  <c r="AQ308" i="1"/>
  <c r="HI309" i="1" l="1"/>
  <c r="HJ307" i="1"/>
  <c r="HI308" i="1"/>
  <c r="AR308" i="1"/>
  <c r="AS307" i="1"/>
  <c r="AR309" i="1"/>
  <c r="HK307" i="1" l="1"/>
  <c r="HJ308" i="1"/>
  <c r="HJ309" i="1"/>
  <c r="AS308" i="1"/>
  <c r="AS309" i="1"/>
  <c r="AT307" i="1"/>
  <c r="HL307" i="1" l="1"/>
  <c r="HK308" i="1"/>
  <c r="HK309" i="1"/>
  <c r="AT308" i="1"/>
  <c r="AU307" i="1"/>
  <c r="AT309" i="1"/>
  <c r="HL309" i="1" l="1"/>
  <c r="HM307" i="1"/>
  <c r="HL308" i="1"/>
  <c r="AU309" i="1"/>
  <c r="AU308" i="1"/>
  <c r="AV307" i="1"/>
  <c r="HN307" i="1" l="1"/>
  <c r="HM308" i="1"/>
  <c r="HM309" i="1"/>
  <c r="AW307" i="1"/>
  <c r="AV309" i="1"/>
  <c r="AV308" i="1"/>
  <c r="HO307" i="1" l="1"/>
  <c r="HN308" i="1"/>
  <c r="HN309" i="1"/>
  <c r="AX307" i="1"/>
  <c r="AW309" i="1"/>
  <c r="AW308" i="1"/>
  <c r="HP307" i="1" l="1"/>
  <c r="HO308" i="1"/>
  <c r="HO309" i="1"/>
  <c r="AY307" i="1"/>
  <c r="AX309" i="1"/>
  <c r="AX308" i="1"/>
  <c r="HQ307" i="1" l="1"/>
  <c r="HP308" i="1"/>
  <c r="HP309" i="1"/>
  <c r="AZ307" i="1"/>
  <c r="AY308" i="1"/>
  <c r="AY309" i="1"/>
  <c r="HQ309" i="1" l="1"/>
  <c r="HR307" i="1"/>
  <c r="HQ308" i="1"/>
  <c r="AZ308" i="1"/>
  <c r="BA307" i="1"/>
  <c r="AZ309" i="1"/>
  <c r="HS307" i="1" l="1"/>
  <c r="HR308" i="1"/>
  <c r="HR309" i="1"/>
  <c r="BA308" i="1"/>
  <c r="BA309" i="1"/>
  <c r="BB307" i="1"/>
  <c r="HT307" i="1" l="1"/>
  <c r="HS308" i="1"/>
  <c r="HS309" i="1"/>
  <c r="BB308" i="1"/>
  <c r="BC307" i="1"/>
  <c r="BB309" i="1"/>
  <c r="HT309" i="1" l="1"/>
  <c r="HU307" i="1"/>
  <c r="HT308" i="1"/>
  <c r="BC309" i="1"/>
  <c r="BC308" i="1"/>
  <c r="BD307" i="1"/>
  <c r="HV307" i="1" l="1"/>
  <c r="HU308" i="1"/>
  <c r="HU309" i="1"/>
  <c r="BE307" i="1"/>
  <c r="BD309" i="1"/>
  <c r="BD308" i="1"/>
  <c r="HW307" i="1" l="1"/>
  <c r="HV308" i="1"/>
  <c r="HV309" i="1"/>
  <c r="BF307" i="1"/>
  <c r="BE309" i="1"/>
  <c r="BE308" i="1"/>
  <c r="HX307" i="1" l="1"/>
  <c r="HW308" i="1"/>
  <c r="HW309" i="1"/>
  <c r="BG307" i="1"/>
  <c r="BF309" i="1"/>
  <c r="BF308" i="1"/>
  <c r="HY307" i="1" l="1"/>
  <c r="HX308" i="1"/>
  <c r="HX309" i="1"/>
  <c r="BH307" i="1"/>
  <c r="BG308" i="1"/>
  <c r="BG309" i="1"/>
  <c r="HZ307" i="1" l="1"/>
  <c r="HY308" i="1"/>
  <c r="HY309" i="1"/>
  <c r="BH308" i="1"/>
  <c r="BI307" i="1"/>
  <c r="BH309" i="1"/>
  <c r="IA307" i="1" l="1"/>
  <c r="HZ308" i="1"/>
  <c r="HZ309" i="1"/>
  <c r="BI308" i="1"/>
  <c r="BI309" i="1"/>
  <c r="BJ307" i="1"/>
  <c r="IB307" i="1" l="1"/>
  <c r="IA308" i="1"/>
  <c r="IA309" i="1"/>
  <c r="BJ308" i="1"/>
  <c r="BK307" i="1"/>
  <c r="BJ309" i="1"/>
  <c r="IB309" i="1" l="1"/>
  <c r="IC307" i="1"/>
  <c r="IB308" i="1"/>
  <c r="BK309" i="1"/>
  <c r="BK308" i="1"/>
  <c r="BL307" i="1"/>
  <c r="ID307" i="1" l="1"/>
  <c r="IC308" i="1"/>
  <c r="IC309" i="1"/>
  <c r="BM307" i="1"/>
  <c r="BL309" i="1"/>
  <c r="BL308" i="1"/>
  <c r="IE307" i="1" l="1"/>
  <c r="ID308" i="1"/>
  <c r="ID309" i="1"/>
  <c r="BN307" i="1"/>
  <c r="BM309" i="1"/>
  <c r="BM308" i="1"/>
  <c r="IF307" i="1" l="1"/>
  <c r="IE308" i="1"/>
  <c r="IE309" i="1"/>
  <c r="BO307" i="1"/>
  <c r="BN309" i="1"/>
  <c r="BN308" i="1"/>
  <c r="IG307" i="1" l="1"/>
  <c r="IF308" i="1"/>
  <c r="IF309" i="1"/>
  <c r="BP307" i="1"/>
  <c r="BO308" i="1"/>
  <c r="BO309" i="1"/>
  <c r="IG309" i="1" l="1"/>
  <c r="IH307" i="1"/>
  <c r="IG308" i="1"/>
  <c r="BP308" i="1"/>
  <c r="BQ307" i="1"/>
  <c r="BP309" i="1"/>
  <c r="II307" i="1" l="1"/>
  <c r="IH308" i="1"/>
  <c r="IH309" i="1"/>
  <c r="BQ308" i="1"/>
  <c r="BQ309" i="1"/>
  <c r="BR307" i="1"/>
  <c r="IJ307" i="1" l="1"/>
  <c r="II308" i="1"/>
  <c r="II309" i="1"/>
  <c r="BR308" i="1"/>
  <c r="BS307" i="1"/>
  <c r="BR309" i="1"/>
  <c r="IJ309" i="1" l="1"/>
  <c r="IK307" i="1"/>
  <c r="IJ308" i="1"/>
  <c r="BS309" i="1"/>
  <c r="BS308" i="1"/>
  <c r="BT307" i="1"/>
  <c r="IL307" i="1" l="1"/>
  <c r="IK308" i="1"/>
  <c r="IK309" i="1"/>
  <c r="BU307" i="1"/>
  <c r="BT309" i="1"/>
  <c r="BT308" i="1"/>
  <c r="IM307" i="1" l="1"/>
  <c r="IL308" i="1"/>
  <c r="IL309" i="1"/>
  <c r="BV307" i="1"/>
  <c r="BU309" i="1"/>
  <c r="BU308" i="1"/>
  <c r="IN307" i="1" l="1"/>
  <c r="IM308" i="1"/>
  <c r="IM309" i="1"/>
  <c r="BW307" i="1"/>
  <c r="BV309" i="1"/>
  <c r="BV308" i="1"/>
  <c r="IO307" i="1" l="1"/>
  <c r="IN308" i="1"/>
  <c r="IN309" i="1"/>
  <c r="BX307" i="1"/>
  <c r="BW309" i="1"/>
  <c r="BW308" i="1"/>
  <c r="IO309" i="1" l="1"/>
  <c r="IP307" i="1"/>
  <c r="IO308" i="1"/>
  <c r="BX308" i="1"/>
  <c r="BY307" i="1"/>
  <c r="BX309" i="1"/>
  <c r="IQ307" i="1" l="1"/>
  <c r="IP308" i="1"/>
  <c r="IP309" i="1"/>
  <c r="BY308" i="1"/>
  <c r="BY309" i="1"/>
  <c r="BZ307" i="1"/>
  <c r="IR307" i="1" l="1"/>
  <c r="IQ308" i="1"/>
  <c r="IQ309" i="1"/>
  <c r="BZ308" i="1"/>
  <c r="CA307" i="1"/>
  <c r="BZ309" i="1"/>
  <c r="IR309" i="1" l="1"/>
  <c r="IS307" i="1"/>
  <c r="IR308" i="1"/>
  <c r="CA309" i="1"/>
  <c r="CA308" i="1"/>
  <c r="CB307" i="1"/>
  <c r="IT307" i="1" l="1"/>
  <c r="IS308" i="1"/>
  <c r="IS309" i="1"/>
  <c r="CC307" i="1"/>
  <c r="CB309" i="1"/>
  <c r="CB308" i="1"/>
  <c r="IU307" i="1" l="1"/>
  <c r="IT308" i="1"/>
  <c r="IT309" i="1"/>
  <c r="CD307" i="1"/>
  <c r="CC309" i="1"/>
  <c r="CC308" i="1"/>
  <c r="IV307" i="1" l="1"/>
  <c r="IU308" i="1"/>
  <c r="IU309" i="1"/>
  <c r="CE307" i="1"/>
  <c r="CD309" i="1"/>
  <c r="CD308" i="1"/>
  <c r="IW307" i="1" l="1"/>
  <c r="IV308" i="1"/>
  <c r="IV309" i="1"/>
  <c r="CF307" i="1"/>
  <c r="CE308" i="1"/>
  <c r="CE309" i="1"/>
  <c r="IW309" i="1" l="1"/>
  <c r="IX307" i="1"/>
  <c r="IW308" i="1"/>
  <c r="CF308" i="1"/>
  <c r="CG307" i="1"/>
  <c r="CF309" i="1"/>
  <c r="IY307" i="1" l="1"/>
  <c r="IX308" i="1"/>
  <c r="IX309" i="1"/>
  <c r="CG308" i="1"/>
  <c r="CG309" i="1"/>
  <c r="CH307" i="1"/>
  <c r="IZ307" i="1" l="1"/>
  <c r="IY308" i="1"/>
  <c r="IY309" i="1"/>
  <c r="CH308" i="1"/>
  <c r="CI307" i="1"/>
  <c r="CH309" i="1"/>
  <c r="IZ309" i="1" l="1"/>
  <c r="JA307" i="1"/>
  <c r="IZ308" i="1"/>
  <c r="CI309" i="1"/>
  <c r="CI308" i="1"/>
  <c r="CJ307" i="1"/>
  <c r="JB307" i="1" l="1"/>
  <c r="JA308" i="1"/>
  <c r="JA309" i="1"/>
  <c r="CK307" i="1"/>
  <c r="CJ309" i="1"/>
  <c r="CJ308" i="1"/>
  <c r="JC307" i="1" l="1"/>
  <c r="JB308" i="1"/>
  <c r="JB309" i="1"/>
  <c r="CL307" i="1"/>
  <c r="CK309" i="1"/>
  <c r="CK308" i="1"/>
  <c r="JD307" i="1" l="1"/>
  <c r="JC308" i="1"/>
  <c r="JC309" i="1"/>
  <c r="CM307" i="1"/>
  <c r="CL309" i="1"/>
  <c r="CL308" i="1"/>
  <c r="JE307" i="1" l="1"/>
  <c r="JD308" i="1"/>
  <c r="JD309" i="1"/>
  <c r="CN307" i="1"/>
  <c r="CM308" i="1"/>
  <c r="CM309" i="1"/>
  <c r="JE309" i="1" l="1"/>
  <c r="JF307" i="1"/>
  <c r="JE308" i="1"/>
  <c r="CN308" i="1"/>
  <c r="CO307" i="1"/>
  <c r="CN309" i="1"/>
  <c r="JG307" i="1" l="1"/>
  <c r="JF308" i="1"/>
  <c r="JF309" i="1"/>
  <c r="CO308" i="1"/>
  <c r="CO309" i="1"/>
  <c r="CP307" i="1"/>
  <c r="JH307" i="1" l="1"/>
  <c r="JG308" i="1"/>
  <c r="JG309" i="1"/>
  <c r="CP308" i="1"/>
  <c r="CQ307" i="1"/>
  <c r="CP309" i="1"/>
  <c r="JH309" i="1" l="1"/>
  <c r="JI307" i="1"/>
  <c r="JH308" i="1"/>
  <c r="CQ309" i="1"/>
  <c r="CQ308" i="1"/>
  <c r="CR307" i="1"/>
  <c r="JJ307" i="1" l="1"/>
  <c r="JI308" i="1"/>
  <c r="JI309" i="1"/>
  <c r="CS307" i="1"/>
  <c r="CR309" i="1"/>
  <c r="CR308" i="1"/>
  <c r="JK307" i="1" l="1"/>
  <c r="JJ308" i="1"/>
  <c r="JJ309" i="1"/>
  <c r="CT307" i="1"/>
  <c r="CS309" i="1"/>
  <c r="CS308" i="1"/>
  <c r="JL307" i="1" l="1"/>
  <c r="JK308" i="1"/>
  <c r="JK309" i="1"/>
  <c r="CU307" i="1"/>
  <c r="CT309" i="1"/>
  <c r="CT308" i="1"/>
  <c r="JM307" i="1" l="1"/>
  <c r="JL308" i="1"/>
  <c r="JL309" i="1"/>
  <c r="CV307" i="1"/>
  <c r="CU309" i="1"/>
  <c r="CU308" i="1"/>
  <c r="JM309" i="1" l="1"/>
  <c r="JN307" i="1"/>
  <c r="JM308" i="1"/>
  <c r="CV308" i="1"/>
  <c r="CW307" i="1"/>
  <c r="CV309" i="1"/>
  <c r="JO307" i="1" l="1"/>
  <c r="JN308" i="1"/>
  <c r="JN309" i="1"/>
  <c r="CW308" i="1"/>
  <c r="CW309" i="1"/>
  <c r="CX307" i="1"/>
  <c r="JP307" i="1" l="1"/>
  <c r="JO308" i="1"/>
  <c r="JO309" i="1"/>
  <c r="CX308" i="1"/>
  <c r="CY307" i="1"/>
  <c r="CX309" i="1"/>
  <c r="JP309" i="1" l="1"/>
  <c r="JQ307" i="1"/>
  <c r="JP308" i="1"/>
  <c r="CY309" i="1"/>
  <c r="CY308" i="1"/>
  <c r="CZ307" i="1"/>
  <c r="JR307" i="1" l="1"/>
  <c r="JQ308" i="1"/>
  <c r="JQ309" i="1"/>
  <c r="DA307" i="1"/>
  <c r="CZ309" i="1"/>
  <c r="CZ308" i="1"/>
  <c r="JS307" i="1" l="1"/>
  <c r="JR308" i="1"/>
  <c r="JR309" i="1"/>
  <c r="DB307" i="1"/>
  <c r="DA309" i="1"/>
  <c r="DA308" i="1"/>
  <c r="JT307" i="1" l="1"/>
  <c r="JS308" i="1"/>
  <c r="JS309" i="1"/>
  <c r="DC307" i="1"/>
  <c r="DB309" i="1"/>
  <c r="DB308" i="1"/>
  <c r="JU307" i="1" l="1"/>
  <c r="JT308" i="1"/>
  <c r="JT309" i="1"/>
  <c r="DD307" i="1"/>
  <c r="DC309" i="1"/>
  <c r="DC308" i="1"/>
  <c r="JV307" i="1" l="1"/>
  <c r="JU308" i="1"/>
  <c r="JU309" i="1"/>
  <c r="DD308" i="1"/>
  <c r="DE307" i="1"/>
  <c r="DD309" i="1"/>
  <c r="JW307" i="1" l="1"/>
  <c r="JV308" i="1"/>
  <c r="JV309" i="1"/>
  <c r="DE308" i="1"/>
  <c r="DE309" i="1"/>
  <c r="DF307" i="1"/>
  <c r="JX307" i="1" l="1"/>
  <c r="JW308" i="1"/>
  <c r="JW309" i="1"/>
  <c r="DF308" i="1"/>
  <c r="DG307" i="1"/>
  <c r="DF309" i="1"/>
  <c r="JX309" i="1" l="1"/>
  <c r="JY307" i="1"/>
  <c r="JX308" i="1"/>
  <c r="DG309" i="1"/>
  <c r="DG308" i="1"/>
  <c r="DH307" i="1"/>
  <c r="JZ307" i="1" l="1"/>
  <c r="JY308" i="1"/>
  <c r="JY309" i="1"/>
  <c r="DI307" i="1"/>
  <c r="DH309" i="1"/>
  <c r="DH308" i="1"/>
  <c r="KA307" i="1" l="1"/>
  <c r="JZ308" i="1"/>
  <c r="JZ309" i="1"/>
  <c r="DJ307" i="1"/>
  <c r="DI309" i="1"/>
  <c r="DI308" i="1"/>
  <c r="KB307" i="1" l="1"/>
  <c r="KA308" i="1"/>
  <c r="KA309" i="1"/>
  <c r="DK307" i="1"/>
  <c r="DJ309" i="1"/>
  <c r="DJ308" i="1"/>
  <c r="KC307" i="1" l="1"/>
  <c r="KB308" i="1"/>
  <c r="KB309" i="1"/>
  <c r="DL307" i="1"/>
  <c r="DK308" i="1"/>
  <c r="DK309" i="1"/>
  <c r="KC309" i="1" l="1"/>
  <c r="KD307" i="1"/>
  <c r="KC308" i="1"/>
  <c r="DL308" i="1"/>
  <c r="DL309" i="1"/>
  <c r="DM307" i="1"/>
  <c r="KE307" i="1" l="1"/>
  <c r="KD308" i="1"/>
  <c r="KD309" i="1"/>
  <c r="DM308" i="1"/>
  <c r="DM309" i="1"/>
  <c r="DN307" i="1"/>
  <c r="KF307" i="1" l="1"/>
  <c r="KE308" i="1"/>
  <c r="KE309" i="1"/>
  <c r="DN308" i="1"/>
  <c r="DO307" i="1"/>
  <c r="DN309" i="1"/>
  <c r="KF309" i="1" l="1"/>
  <c r="KF308" i="1"/>
  <c r="KG307" i="1"/>
  <c r="DO309" i="1"/>
  <c r="DO308" i="1"/>
  <c r="DP307" i="1"/>
  <c r="KH307" i="1" l="1"/>
  <c r="KG308" i="1"/>
  <c r="KG309" i="1"/>
  <c r="DQ307" i="1"/>
  <c r="DP309" i="1"/>
  <c r="DP308" i="1"/>
  <c r="KI307" i="1" l="1"/>
  <c r="KH308" i="1"/>
  <c r="KH309" i="1"/>
  <c r="DR307" i="1"/>
  <c r="DQ309" i="1"/>
  <c r="DQ308" i="1"/>
  <c r="KJ307" i="1" l="1"/>
  <c r="KI308" i="1"/>
  <c r="KI309" i="1"/>
  <c r="DS307" i="1"/>
  <c r="DR309" i="1"/>
  <c r="DR308" i="1"/>
  <c r="KK307" i="1" l="1"/>
  <c r="KJ308" i="1"/>
  <c r="KJ309" i="1"/>
  <c r="DT307" i="1"/>
  <c r="DS308" i="1"/>
  <c r="DS309" i="1"/>
  <c r="KK309" i="1" l="1"/>
  <c r="KL307" i="1"/>
  <c r="KK308" i="1"/>
  <c r="DT308" i="1"/>
  <c r="DU307" i="1"/>
  <c r="DT309" i="1"/>
  <c r="KM307" i="1" l="1"/>
  <c r="KL308" i="1"/>
  <c r="KL309" i="1"/>
  <c r="DU308" i="1"/>
  <c r="DU309" i="1"/>
  <c r="DV307" i="1"/>
  <c r="KN307" i="1" l="1"/>
  <c r="KM308" i="1"/>
  <c r="KM309" i="1"/>
  <c r="DV308" i="1"/>
  <c r="DW307" i="1"/>
  <c r="DV309" i="1"/>
  <c r="KN309" i="1" l="1"/>
  <c r="KN308" i="1"/>
  <c r="KO307" i="1"/>
  <c r="DW309" i="1"/>
  <c r="DW308" i="1"/>
  <c r="DX307" i="1"/>
  <c r="KP307" i="1" l="1"/>
  <c r="KO308" i="1"/>
  <c r="KO309" i="1"/>
  <c r="DY307" i="1"/>
  <c r="DX309" i="1"/>
  <c r="DX308" i="1"/>
  <c r="KQ307" i="1" l="1"/>
  <c r="KP308" i="1"/>
  <c r="KP309" i="1"/>
  <c r="DZ307" i="1"/>
  <c r="DY309" i="1"/>
  <c r="DY308" i="1"/>
  <c r="KR307" i="1" l="1"/>
  <c r="KQ308" i="1"/>
  <c r="KQ309" i="1"/>
  <c r="EA307" i="1"/>
  <c r="DZ309" i="1"/>
  <c r="DZ308" i="1"/>
  <c r="KS307" i="1" l="1"/>
  <c r="KR308" i="1"/>
  <c r="KR309" i="1"/>
  <c r="EB307" i="1"/>
  <c r="EA308" i="1"/>
  <c r="EA309" i="1"/>
  <c r="KS309" i="1" l="1"/>
  <c r="KT307" i="1"/>
  <c r="KS308" i="1"/>
  <c r="EB308" i="1"/>
  <c r="EB309" i="1"/>
  <c r="EC307" i="1"/>
  <c r="KU307" i="1" l="1"/>
  <c r="KT308" i="1"/>
  <c r="KT309" i="1"/>
  <c r="EC308" i="1"/>
  <c r="EC309" i="1"/>
  <c r="ED307" i="1"/>
  <c r="KV307" i="1" l="1"/>
  <c r="KU308" i="1"/>
  <c r="KU309" i="1"/>
  <c r="ED308" i="1"/>
  <c r="EE307" i="1"/>
  <c r="ED309" i="1"/>
  <c r="KV309" i="1" l="1"/>
  <c r="KW307" i="1"/>
  <c r="KV308" i="1"/>
  <c r="EE309" i="1"/>
  <c r="EE308" i="1"/>
  <c r="EF307" i="1"/>
  <c r="KX307" i="1" l="1"/>
  <c r="KW308" i="1"/>
  <c r="KW309" i="1"/>
  <c r="EG307" i="1"/>
  <c r="EF309" i="1"/>
  <c r="EF308" i="1"/>
  <c r="KY307" i="1" l="1"/>
  <c r="KX308" i="1"/>
  <c r="KX309" i="1"/>
  <c r="EH307" i="1"/>
  <c r="EG309" i="1"/>
  <c r="EG308" i="1"/>
  <c r="KZ307" i="1" l="1"/>
  <c r="KY308" i="1"/>
  <c r="KY309" i="1"/>
  <c r="EI307" i="1"/>
  <c r="EH309" i="1"/>
  <c r="EH308" i="1"/>
  <c r="LA307" i="1" l="1"/>
  <c r="KZ308" i="1"/>
  <c r="KZ309" i="1"/>
  <c r="EJ307" i="1"/>
  <c r="EI309" i="1"/>
  <c r="EI308" i="1"/>
  <c r="LA309" i="1" l="1"/>
  <c r="LB307" i="1"/>
  <c r="LA308" i="1"/>
  <c r="EJ308" i="1"/>
  <c r="EK307" i="1"/>
  <c r="EJ309" i="1"/>
  <c r="LC307" i="1" l="1"/>
  <c r="LB308" i="1"/>
  <c r="LB309" i="1"/>
  <c r="EK308" i="1"/>
  <c r="EK309" i="1"/>
  <c r="EL307" i="1"/>
  <c r="LD307" i="1" l="1"/>
  <c r="LC308" i="1"/>
  <c r="LC309" i="1"/>
  <c r="EL308" i="1"/>
  <c r="EM307" i="1"/>
  <c r="EL309" i="1"/>
  <c r="LD309" i="1" l="1"/>
  <c r="LE307" i="1"/>
  <c r="LD308" i="1"/>
  <c r="EM309" i="1"/>
  <c r="EM308" i="1"/>
  <c r="EN307" i="1"/>
  <c r="LF307" i="1" l="1"/>
  <c r="LE308" i="1"/>
  <c r="LE309" i="1"/>
  <c r="EO307" i="1"/>
  <c r="EN309" i="1"/>
  <c r="EN308" i="1"/>
  <c r="LG307" i="1" l="1"/>
  <c r="LF308" i="1"/>
  <c r="LF309" i="1"/>
  <c r="EP307" i="1"/>
  <c r="EO309" i="1"/>
  <c r="EO308" i="1"/>
  <c r="LH307" i="1" l="1"/>
  <c r="LG308" i="1"/>
  <c r="LG309" i="1"/>
  <c r="EQ307" i="1"/>
  <c r="EP309" i="1"/>
  <c r="EP308" i="1"/>
  <c r="LI307" i="1" l="1"/>
  <c r="LH308" i="1"/>
  <c r="LH309" i="1"/>
  <c r="ER307" i="1"/>
  <c r="EQ309" i="1"/>
  <c r="EQ308" i="1"/>
  <c r="LJ307" i="1" l="1"/>
  <c r="LI308" i="1"/>
  <c r="LI309" i="1"/>
  <c r="ER308" i="1"/>
  <c r="ER309" i="1"/>
  <c r="ES307" i="1"/>
  <c r="LK307" i="1" l="1"/>
  <c r="LJ308" i="1"/>
  <c r="LJ309" i="1"/>
  <c r="ES308" i="1"/>
  <c r="ES309" i="1"/>
  <c r="ET307" i="1"/>
  <c r="LL307" i="1" l="1"/>
  <c r="LK308" i="1"/>
  <c r="LK309" i="1"/>
  <c r="ET308" i="1"/>
  <c r="EU307" i="1"/>
  <c r="ET309" i="1"/>
  <c r="LL309" i="1" l="1"/>
  <c r="LM307" i="1"/>
  <c r="LL308" i="1"/>
  <c r="EU309" i="1"/>
  <c r="EU308" i="1"/>
  <c r="EV307" i="1"/>
  <c r="LN307" i="1" l="1"/>
  <c r="LM308" i="1"/>
  <c r="LM309" i="1"/>
  <c r="EW307" i="1"/>
  <c r="EV309" i="1"/>
  <c r="EV308" i="1"/>
  <c r="LO307" i="1" l="1"/>
  <c r="LN308" i="1"/>
  <c r="LN309" i="1"/>
  <c r="EX307" i="1"/>
  <c r="EW309" i="1"/>
  <c r="EW308" i="1"/>
  <c r="LP307" i="1" l="1"/>
  <c r="LO308" i="1"/>
  <c r="LO309" i="1"/>
  <c r="EY307" i="1"/>
  <c r="EX309" i="1"/>
  <c r="EX308" i="1"/>
  <c r="LQ307" i="1" l="1"/>
  <c r="LP308" i="1"/>
  <c r="LP309" i="1"/>
  <c r="EZ307" i="1"/>
  <c r="EY308" i="1"/>
  <c r="EY309" i="1"/>
  <c r="LQ309" i="1" l="1"/>
  <c r="LR307" i="1"/>
  <c r="LQ308" i="1"/>
  <c r="EZ308" i="1"/>
  <c r="FA307" i="1"/>
  <c r="EZ309" i="1"/>
  <c r="LR308" i="1" l="1"/>
  <c r="LS307" i="1"/>
  <c r="LR309" i="1"/>
  <c r="FA308" i="1"/>
  <c r="FA309" i="1"/>
  <c r="FB307" i="1"/>
  <c r="LT307" i="1" l="1"/>
  <c r="LS308" i="1"/>
  <c r="LS309" i="1"/>
  <c r="FB308" i="1"/>
  <c r="FC307" i="1"/>
  <c r="FB309" i="1"/>
  <c r="LT309" i="1" l="1"/>
  <c r="LU307" i="1"/>
  <c r="LT308" i="1"/>
  <c r="FC309" i="1"/>
  <c r="FC308" i="1"/>
  <c r="FD307" i="1"/>
  <c r="LV307" i="1" l="1"/>
  <c r="LU308" i="1"/>
  <c r="LU309" i="1"/>
  <c r="FE307" i="1"/>
  <c r="FD309" i="1"/>
  <c r="FD308" i="1"/>
  <c r="LW307" i="1" l="1"/>
  <c r="LV308" i="1"/>
  <c r="LV309" i="1"/>
  <c r="FF307" i="1"/>
  <c r="FE309" i="1"/>
  <c r="FE308" i="1"/>
  <c r="LX307" i="1" l="1"/>
  <c r="LW308" i="1"/>
  <c r="LW309" i="1"/>
  <c r="FG307" i="1"/>
  <c r="FF309" i="1"/>
  <c r="FF308" i="1"/>
  <c r="LY307" i="1" l="1"/>
  <c r="LX308" i="1"/>
  <c r="LX309" i="1"/>
  <c r="FH307" i="1"/>
  <c r="FG308" i="1"/>
  <c r="FG309" i="1"/>
  <c r="LY309" i="1" l="1"/>
  <c r="LZ307" i="1"/>
  <c r="LY308" i="1"/>
  <c r="FH308" i="1"/>
  <c r="FI307" i="1"/>
  <c r="FH309" i="1"/>
  <c r="LZ308" i="1" l="1"/>
  <c r="MA307" i="1"/>
  <c r="LZ309" i="1"/>
  <c r="FI308" i="1"/>
  <c r="FI309" i="1"/>
  <c r="FJ307" i="1"/>
  <c r="MB307" i="1" l="1"/>
  <c r="MA308" i="1"/>
  <c r="MA309" i="1"/>
  <c r="FJ308" i="1"/>
  <c r="FK307" i="1"/>
  <c r="FJ309" i="1"/>
  <c r="MB309" i="1" l="1"/>
  <c r="MC307" i="1"/>
  <c r="MB308" i="1"/>
  <c r="FK309" i="1"/>
  <c r="FK308" i="1"/>
  <c r="FL307" i="1"/>
  <c r="MD307" i="1" l="1"/>
  <c r="MC308" i="1"/>
  <c r="MC309" i="1"/>
  <c r="FM307" i="1"/>
  <c r="FL309" i="1"/>
  <c r="FL308" i="1"/>
  <c r="ME307" i="1" l="1"/>
  <c r="MD308" i="1"/>
  <c r="MD309" i="1"/>
  <c r="FN307" i="1"/>
  <c r="FM309" i="1"/>
  <c r="FM308" i="1"/>
  <c r="MF307" i="1" l="1"/>
  <c r="ME308" i="1"/>
  <c r="ME309" i="1"/>
  <c r="FO307" i="1"/>
  <c r="FN309" i="1"/>
  <c r="FN308" i="1"/>
  <c r="MG307" i="1" l="1"/>
  <c r="MF308" i="1"/>
  <c r="MF309" i="1"/>
  <c r="FP307" i="1"/>
  <c r="FO309" i="1"/>
  <c r="FO308" i="1"/>
  <c r="MG309" i="1" l="1"/>
  <c r="MH307" i="1"/>
  <c r="MG308" i="1"/>
  <c r="FP308" i="1"/>
  <c r="FP309" i="1"/>
  <c r="FQ307" i="1"/>
  <c r="MH308" i="1" l="1"/>
  <c r="MI307" i="1"/>
  <c r="MH309" i="1"/>
  <c r="FQ308" i="1"/>
  <c r="FQ309" i="1"/>
  <c r="FR307" i="1"/>
  <c r="MJ307" i="1" l="1"/>
  <c r="MI308" i="1"/>
  <c r="MI309" i="1"/>
  <c r="FR308" i="1"/>
  <c r="FS307" i="1"/>
  <c r="FR309" i="1"/>
  <c r="MJ309" i="1" l="1"/>
  <c r="MK307" i="1"/>
  <c r="MJ308" i="1"/>
  <c r="FS309" i="1"/>
  <c r="FS308" i="1"/>
  <c r="FT307" i="1"/>
  <c r="ML307" i="1" l="1"/>
  <c r="MK308" i="1"/>
  <c r="MK309" i="1"/>
  <c r="FU307" i="1"/>
  <c r="FT309" i="1"/>
  <c r="FT308" i="1"/>
  <c r="MM307" i="1" l="1"/>
  <c r="ML308" i="1"/>
  <c r="ML309" i="1"/>
  <c r="FV307" i="1"/>
  <c r="FU308" i="1"/>
  <c r="FU309" i="1"/>
  <c r="MN307" i="1" l="1"/>
  <c r="MM308" i="1"/>
  <c r="MM309" i="1"/>
  <c r="FW307" i="1"/>
  <c r="FV309" i="1"/>
  <c r="FV308" i="1"/>
  <c r="MO307" i="1" l="1"/>
  <c r="MN308" i="1"/>
  <c r="MN309" i="1"/>
  <c r="FX307" i="1"/>
  <c r="FW309" i="1"/>
  <c r="FW308" i="1"/>
  <c r="MO309" i="1" l="1"/>
  <c r="MP307" i="1"/>
  <c r="MO308" i="1"/>
  <c r="FX308" i="1"/>
  <c r="FY307" i="1"/>
  <c r="FX309" i="1"/>
  <c r="MP308" i="1" l="1"/>
  <c r="MQ307" i="1"/>
  <c r="MP309" i="1"/>
  <c r="FY308" i="1"/>
  <c r="FY309" i="1"/>
  <c r="FZ307" i="1"/>
  <c r="MR307" i="1" l="1"/>
  <c r="MQ308" i="1"/>
  <c r="MQ309" i="1"/>
  <c r="FZ308" i="1"/>
  <c r="GA307" i="1"/>
  <c r="FZ309" i="1"/>
  <c r="MR309" i="1" l="1"/>
  <c r="MS307" i="1"/>
  <c r="MR308" i="1"/>
  <c r="GA309" i="1"/>
  <c r="GA308" i="1"/>
  <c r="GB307" i="1"/>
  <c r="MT307" i="1" l="1"/>
  <c r="MS308" i="1"/>
  <c r="MS309" i="1"/>
  <c r="GC307" i="1"/>
  <c r="GB309" i="1"/>
  <c r="GB308" i="1"/>
  <c r="MU307" i="1" l="1"/>
  <c r="MT308" i="1"/>
  <c r="MT309" i="1"/>
  <c r="GD307" i="1"/>
  <c r="GC309" i="1"/>
  <c r="GC308" i="1"/>
  <c r="MV307" i="1" l="1"/>
  <c r="MU308" i="1"/>
  <c r="MU309" i="1"/>
  <c r="GE307" i="1"/>
  <c r="GD309" i="1"/>
  <c r="GD308" i="1"/>
  <c r="MW307" i="1" l="1"/>
  <c r="MV308" i="1"/>
  <c r="MV309" i="1"/>
  <c r="GF307" i="1"/>
  <c r="GE309" i="1"/>
  <c r="GE308" i="1"/>
  <c r="MX307" i="1" l="1"/>
  <c r="MW308" i="1"/>
  <c r="MW309" i="1"/>
  <c r="GF308" i="1"/>
  <c r="GF309" i="1"/>
  <c r="GG307" i="1"/>
  <c r="MX308" i="1" l="1"/>
  <c r="MY307" i="1"/>
  <c r="MX309" i="1"/>
  <c r="GG308" i="1"/>
  <c r="GG309" i="1"/>
  <c r="MZ307" i="1" l="1"/>
  <c r="MY308" i="1"/>
  <c r="MY309" i="1"/>
  <c r="MZ309" i="1" l="1"/>
  <c r="NA307" i="1"/>
  <c r="MZ308" i="1"/>
  <c r="NB307" i="1" l="1"/>
  <c r="NA308" i="1"/>
  <c r="NA309" i="1"/>
  <c r="NB308" i="1" l="1"/>
  <c r="NB309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python.xml><?xml version="1.0" encoding="utf-8"?>
<python xmlns="http://schemas.microsoft.com/office/spreadsheetml/2023/python">
  <environmentDefinition id="{882DD1B0-6546-4DFA-8A08-902A380B44EA}">
    <initialization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</python>
</file>

<file path=xl/sharedStrings.xml><?xml version="1.0" encoding="utf-8"?>
<sst xmlns="http://schemas.openxmlformats.org/spreadsheetml/2006/main" count="730" uniqueCount="354">
  <si>
    <t>Haushalt</t>
  </si>
  <si>
    <t>Feb</t>
  </si>
  <si>
    <t>Jan</t>
  </si>
  <si>
    <t>Mär</t>
  </si>
  <si>
    <t>Apr</t>
  </si>
  <si>
    <t>Einnahmen</t>
  </si>
  <si>
    <t>Mai</t>
  </si>
  <si>
    <t>Jun</t>
  </si>
  <si>
    <t>Jul</t>
  </si>
  <si>
    <t>Aug</t>
  </si>
  <si>
    <t>Sep</t>
  </si>
  <si>
    <t>Okt</t>
  </si>
  <si>
    <t>Nov</t>
  </si>
  <si>
    <t>Dez</t>
  </si>
  <si>
    <t>&gt;Arbeit</t>
  </si>
  <si>
    <t>&gt;Taschengeld</t>
  </si>
  <si>
    <t>Ausgaben</t>
  </si>
  <si>
    <t>&gt;Miete</t>
  </si>
  <si>
    <t>&gt;Nahrung</t>
  </si>
  <si>
    <t>&gt;Abonements</t>
  </si>
  <si>
    <t>&gt;Sonstige</t>
  </si>
  <si>
    <t>&gt;Überbleib</t>
  </si>
  <si>
    <t>Brutto</t>
  </si>
  <si>
    <t>&gt;Steuern</t>
  </si>
  <si>
    <t>Überbleib</t>
  </si>
  <si>
    <t>Crew</t>
  </si>
  <si>
    <t>Budget</t>
  </si>
  <si>
    <t>Essen</t>
  </si>
  <si>
    <t>Elektrik</t>
  </si>
  <si>
    <t>O2</t>
  </si>
  <si>
    <t>Tag 1</t>
  </si>
  <si>
    <t>Tag 2</t>
  </si>
  <si>
    <t>Tag 3</t>
  </si>
  <si>
    <t>Tag 4</t>
  </si>
  <si>
    <t>Tag 5</t>
  </si>
  <si>
    <t>Sonstiges</t>
  </si>
  <si>
    <t>Ergebnis</t>
  </si>
  <si>
    <t>MH Gesselschaft</t>
  </si>
  <si>
    <t>&gt;Beigetreten</t>
  </si>
  <si>
    <t>&gt;Gestorben</t>
  </si>
  <si>
    <t>&gt;&gt;Totale Jäger</t>
  </si>
  <si>
    <t>&gt;Erledigte Aufträge</t>
  </si>
  <si>
    <t>&gt;Erfolglose Aufträge</t>
  </si>
  <si>
    <t>&gt;Lohn pro Auftrag</t>
  </si>
  <si>
    <t>&gt;&gt;Brutto</t>
  </si>
  <si>
    <t>&gt;Jägerlohn</t>
  </si>
  <si>
    <t>&gt;&gt;Sonstige Kosten</t>
  </si>
  <si>
    <t>&gt;Monatsertrag</t>
  </si>
  <si>
    <t>&gt;Momentane</t>
  </si>
  <si>
    <t>&gt;Ersparnis</t>
  </si>
  <si>
    <t>&gt;&gt;Sonstige Boni</t>
  </si>
  <si>
    <t>Y:</t>
  </si>
  <si>
    <t>X:</t>
  </si>
  <si>
    <t>Jan 1905</t>
  </si>
  <si>
    <t>Feb 1905</t>
  </si>
  <si>
    <t>Mrz 1905</t>
  </si>
  <si>
    <t>Apr 1905</t>
  </si>
  <si>
    <t>Mai 1905</t>
  </si>
  <si>
    <t>Jun 1905</t>
  </si>
  <si>
    <t>Jul 1905</t>
  </si>
  <si>
    <t>Aug 1905</t>
  </si>
  <si>
    <t>Sep 1905</t>
  </si>
  <si>
    <t>Okt 1905</t>
  </si>
  <si>
    <t>Nov 1905</t>
  </si>
  <si>
    <t>Dez 1905</t>
  </si>
  <si>
    <t>Spalte1</t>
  </si>
  <si>
    <t>Spalte2</t>
  </si>
  <si>
    <t>Spalte3</t>
  </si>
  <si>
    <t>Spalte4</t>
  </si>
  <si>
    <t>Spalte5</t>
  </si>
  <si>
    <t>Spalte6</t>
  </si>
  <si>
    <t>Spalte7</t>
  </si>
  <si>
    <t>Spalte8</t>
  </si>
  <si>
    <t>Spalte9</t>
  </si>
  <si>
    <t>Spalte10</t>
  </si>
  <si>
    <t>Spalte11</t>
  </si>
  <si>
    <t>Spalte12</t>
  </si>
  <si>
    <t>Spalte13</t>
  </si>
  <si>
    <t>Spalte14</t>
  </si>
  <si>
    <t>Spalte15</t>
  </si>
  <si>
    <t>Spalte16</t>
  </si>
  <si>
    <t>Spalte17</t>
  </si>
  <si>
    <t>Spalte18</t>
  </si>
  <si>
    <t>Spalte19</t>
  </si>
  <si>
    <t>Spalte20</t>
  </si>
  <si>
    <t>Spalte21</t>
  </si>
  <si>
    <t>Spalte22</t>
  </si>
  <si>
    <t>Z:</t>
  </si>
  <si>
    <t>Focal:</t>
  </si>
  <si>
    <t>RX:</t>
  </si>
  <si>
    <t>RY:</t>
  </si>
  <si>
    <t>RZ:</t>
  </si>
  <si>
    <t>2. 3D-Rotate (Z-Cos)</t>
  </si>
  <si>
    <t>3. 3D-Rotate (Z-Cos)</t>
  </si>
  <si>
    <t>3D-Engine</t>
  </si>
  <si>
    <t>Weltraum</t>
  </si>
  <si>
    <t>XM:</t>
  </si>
  <si>
    <t>YM:</t>
  </si>
  <si>
    <t>ZM:</t>
  </si>
  <si>
    <t>2. 3D-Rotate (X-Sin)</t>
  </si>
  <si>
    <t>3. 3D-Rotate (Y-Sin)</t>
  </si>
  <si>
    <t>4. 3D-Rotate (Z-Sin)</t>
  </si>
  <si>
    <t>4. 3D-Rotate (Z-Cos)</t>
  </si>
  <si>
    <t>5. 3D-Focal (X)</t>
  </si>
  <si>
    <t>5. 3D-Focal (Y)</t>
  </si>
  <si>
    <t>1. 3D-Location (XM)</t>
  </si>
  <si>
    <t>1. 3D-Location (YM)</t>
  </si>
  <si>
    <t>1. 3D-Location (ZM)</t>
  </si>
  <si>
    <t>Move+Vox1</t>
  </si>
  <si>
    <t>Vox2</t>
  </si>
  <si>
    <t>Vox3</t>
  </si>
  <si>
    <t>Vox4</t>
  </si>
  <si>
    <t>Vox5</t>
  </si>
  <si>
    <t>Vox6</t>
  </si>
  <si>
    <t>Vox7</t>
  </si>
  <si>
    <t>Vox8</t>
  </si>
  <si>
    <t>Display:</t>
  </si>
  <si>
    <t>kwh</t>
  </si>
  <si>
    <t>preis / kwh</t>
  </si>
  <si>
    <t>Kosten pro Tag</t>
  </si>
  <si>
    <t>Preis pro kwh</t>
  </si>
  <si>
    <t>XM</t>
  </si>
  <si>
    <t>YM</t>
  </si>
  <si>
    <t>ZM</t>
  </si>
  <si>
    <t>Focal</t>
  </si>
  <si>
    <t>Y</t>
  </si>
  <si>
    <t>X</t>
  </si>
  <si>
    <t>Z</t>
  </si>
  <si>
    <t>1. X-Move</t>
  </si>
  <si>
    <t>2. X-Focal</t>
  </si>
  <si>
    <t>2. Y-Focal</t>
  </si>
  <si>
    <t>1. Z-Move</t>
  </si>
  <si>
    <t>1. Y-Move</t>
  </si>
  <si>
    <t>Variable</t>
  </si>
  <si>
    <t>Vox1+Move</t>
  </si>
  <si>
    <t>Vox9</t>
  </si>
  <si>
    <t>Vox10</t>
  </si>
  <si>
    <t>Variables</t>
  </si>
  <si>
    <t>RotX</t>
  </si>
  <si>
    <t>RotY</t>
  </si>
  <si>
    <t>RotZ</t>
  </si>
  <si>
    <t>RotMidX</t>
  </si>
  <si>
    <t>RotMidY</t>
  </si>
  <si>
    <t>RotMidZ</t>
  </si>
  <si>
    <t>5. FocalX</t>
  </si>
  <si>
    <t>5. FocalY</t>
  </si>
  <si>
    <t>Apfel</t>
  </si>
  <si>
    <t>Birne</t>
  </si>
  <si>
    <t>Mango</t>
  </si>
  <si>
    <t>Obst</t>
  </si>
  <si>
    <t>Kirsche</t>
  </si>
  <si>
    <t>Backstein</t>
  </si>
  <si>
    <t>5. X-Vox</t>
  </si>
  <si>
    <t>5. Y-Vox</t>
  </si>
  <si>
    <t>5. Z-Vox</t>
  </si>
  <si>
    <t>4. RotSinZX</t>
  </si>
  <si>
    <t>4. RotCosZY</t>
  </si>
  <si>
    <t>6. X-Move</t>
  </si>
  <si>
    <t>6. Y-Move</t>
  </si>
  <si>
    <t>6. Z-Move</t>
  </si>
  <si>
    <t>3. RotCosYX</t>
  </si>
  <si>
    <t>3. RotSinYZ</t>
  </si>
  <si>
    <t>2. RotCosXZ</t>
  </si>
  <si>
    <t>2. RotSinXY</t>
  </si>
  <si>
    <t>1. RotVoxMidZ</t>
  </si>
  <si>
    <t>1. RotVoxMidY</t>
  </si>
  <si>
    <t>1. RotVoxMidX</t>
  </si>
  <si>
    <t>7. X-Focal</t>
  </si>
  <si>
    <t>7. Y-Focal</t>
  </si>
  <si>
    <t>1. Vox1Vox2</t>
  </si>
  <si>
    <t>2. Vox1Vox3</t>
  </si>
  <si>
    <t>3. Vox1Vox5</t>
  </si>
  <si>
    <t>4. Vox2Vox4</t>
  </si>
  <si>
    <t>5. Vox2Vox6</t>
  </si>
  <si>
    <t>6. Vox3Vox4</t>
  </si>
  <si>
    <t>7. Vox3Vox7</t>
  </si>
  <si>
    <t>8. Vox4Vox8</t>
  </si>
  <si>
    <t>9. Vox5Vox6</t>
  </si>
  <si>
    <t>10. Vox5Vox7</t>
  </si>
  <si>
    <t>11. Vox6Vox8</t>
  </si>
  <si>
    <t>12. Vox7Vox8</t>
  </si>
  <si>
    <t>8. Display</t>
  </si>
  <si>
    <t>4. FinalX</t>
  </si>
  <si>
    <t>4. FinalY</t>
  </si>
  <si>
    <t>4. FinalZ</t>
  </si>
  <si>
    <t>T</t>
  </si>
  <si>
    <t>1. SinXY</t>
  </si>
  <si>
    <t>1. CosXZ</t>
  </si>
  <si>
    <t>3. CosZY</t>
  </si>
  <si>
    <t>3. SinZX</t>
  </si>
  <si>
    <t>2. SinYZ</t>
  </si>
  <si>
    <t>2. CosYX</t>
  </si>
  <si>
    <t>Variablen</t>
  </si>
  <si>
    <t>Vox1</t>
  </si>
  <si>
    <t>Vox11</t>
  </si>
  <si>
    <t>Vox12</t>
  </si>
  <si>
    <t>Vox13</t>
  </si>
  <si>
    <t>Vox14</t>
  </si>
  <si>
    <t>Vox15</t>
  </si>
  <si>
    <t>Vox16</t>
  </si>
  <si>
    <t>Vox17</t>
  </si>
  <si>
    <t>Vox18</t>
  </si>
  <si>
    <t>Vox19</t>
  </si>
  <si>
    <t>Vox20</t>
  </si>
  <si>
    <t>Vox21</t>
  </si>
  <si>
    <t>Vox22</t>
  </si>
  <si>
    <t>Vox23</t>
  </si>
  <si>
    <t>Vox24</t>
  </si>
  <si>
    <t>Vox25</t>
  </si>
  <si>
    <t>Vorname</t>
  </si>
  <si>
    <t>Alter</t>
  </si>
  <si>
    <t>Dommek</t>
  </si>
  <si>
    <t>Marina</t>
  </si>
  <si>
    <t>Riegel</t>
  </si>
  <si>
    <t>Louis</t>
  </si>
  <si>
    <t>Nagel</t>
  </si>
  <si>
    <t>Michael</t>
  </si>
  <si>
    <t>Grigoletto</t>
  </si>
  <si>
    <t>Marco</t>
  </si>
  <si>
    <t>Hassbro</t>
  </si>
  <si>
    <t>Rafael</t>
  </si>
  <si>
    <t>Tale</t>
  </si>
  <si>
    <t>Under</t>
  </si>
  <si>
    <t>Doe</t>
  </si>
  <si>
    <t>Jane</t>
  </si>
  <si>
    <t>Joe</t>
  </si>
  <si>
    <t>Montiari</t>
  </si>
  <si>
    <t>Hinz</t>
  </si>
  <si>
    <t>Ralph</t>
  </si>
  <si>
    <t>Volz</t>
  </si>
  <si>
    <t>Markus</t>
  </si>
  <si>
    <t>Duck</t>
  </si>
  <si>
    <t>Daggobert</t>
  </si>
  <si>
    <t>Freeman</t>
  </si>
  <si>
    <t>Gordon</t>
  </si>
  <si>
    <t>F&amp;H</t>
  </si>
  <si>
    <t>Termina</t>
  </si>
  <si>
    <t>Rhodan</t>
  </si>
  <si>
    <t>Perry</t>
  </si>
  <si>
    <t>Name</t>
  </si>
  <si>
    <t>Arbeitstage</t>
  </si>
  <si>
    <t>Vollangestelt</t>
  </si>
  <si>
    <t>Stunden</t>
  </si>
  <si>
    <t xml:space="preserve"> </t>
  </si>
  <si>
    <t>Erstbuchstabe</t>
  </si>
  <si>
    <t>Kooperationsfirma</t>
  </si>
  <si>
    <t>Arbeitsenge</t>
  </si>
  <si>
    <t>Helix Technology</t>
  </si>
  <si>
    <t>Kaiser Zentrum</t>
  </si>
  <si>
    <t>Forum Romanum</t>
  </si>
  <si>
    <t>Emanuel Stiftung</t>
  </si>
  <si>
    <t>Monsterjagd</t>
  </si>
  <si>
    <t>Nemesis Studio</t>
  </si>
  <si>
    <t>GMA</t>
  </si>
  <si>
    <t>Aktienzahl</t>
  </si>
  <si>
    <t>Aktienwert</t>
  </si>
  <si>
    <t>Wert</t>
  </si>
  <si>
    <t>Aktienkauf</t>
  </si>
  <si>
    <t>Anteile</t>
  </si>
  <si>
    <t>Hauptland</t>
  </si>
  <si>
    <t>Deutschland</t>
  </si>
  <si>
    <t>Italien</t>
  </si>
  <si>
    <t>Britanien</t>
  </si>
  <si>
    <t>Hauptstadt</t>
  </si>
  <si>
    <t>Berlin</t>
  </si>
  <si>
    <t>New York</t>
  </si>
  <si>
    <t>Rom</t>
  </si>
  <si>
    <t>München</t>
  </si>
  <si>
    <t>London</t>
  </si>
  <si>
    <t>Hauptort</t>
  </si>
  <si>
    <t>Item Name</t>
  </si>
  <si>
    <t>&lt;TF2 Itemes&gt;</t>
  </si>
  <si>
    <t>Team Captain</t>
  </si>
  <si>
    <t>Virtual Viewfinder</t>
  </si>
  <si>
    <t>Strange</t>
  </si>
  <si>
    <t>Killestreak</t>
  </si>
  <si>
    <t>Unusual</t>
  </si>
  <si>
    <t>Painted</t>
  </si>
  <si>
    <t>Level</t>
  </si>
  <si>
    <t>Well-Rounded Rifleman</t>
  </si>
  <si>
    <t>Dovakin</t>
  </si>
  <si>
    <t>Fantastic Doctor Plastic</t>
  </si>
  <si>
    <t>Fancy Fedora</t>
  </si>
  <si>
    <t>Gesamtergebnis</t>
  </si>
  <si>
    <t>Usa</t>
  </si>
  <si>
    <t>Glasgow Bankroller</t>
  </si>
  <si>
    <t>Double Dynamite</t>
  </si>
  <si>
    <t>Item</t>
  </si>
  <si>
    <t>Killstreak</t>
  </si>
  <si>
    <t>Price</t>
  </si>
  <si>
    <t>Yes</t>
  </si>
  <si>
    <t>No</t>
  </si>
  <si>
    <t>Burning Flames</t>
  </si>
  <si>
    <t>Scorching Flames</t>
  </si>
  <si>
    <t>Basic</t>
  </si>
  <si>
    <t>Specialized</t>
  </si>
  <si>
    <t>Paint</t>
  </si>
  <si>
    <t>Lime</t>
  </si>
  <si>
    <t>N/A</t>
  </si>
  <si>
    <t>Slate</t>
  </si>
  <si>
    <t>Pulsating Plasma</t>
  </si>
  <si>
    <t>Greed</t>
  </si>
  <si>
    <t>Smoking</t>
  </si>
  <si>
    <t>Professional</t>
  </si>
  <si>
    <t>Steaming</t>
  </si>
  <si>
    <t>Rustic</t>
  </si>
  <si>
    <t>Team Spirit</t>
  </si>
  <si>
    <t>Terror Watt</t>
  </si>
  <si>
    <t>Kill A Watt</t>
  </si>
  <si>
    <t>Orbiting Plantes</t>
  </si>
  <si>
    <t>Tesla Coil</t>
  </si>
  <si>
    <t>Aces High</t>
  </si>
  <si>
    <t>Olive</t>
  </si>
  <si>
    <t>Soldier Stash</t>
  </si>
  <si>
    <t>Blizzard</t>
  </si>
  <si>
    <t>Antlers</t>
  </si>
  <si>
    <t>Hellfire</t>
  </si>
  <si>
    <t xml:space="preserve">                                                                                                        </t>
  </si>
  <si>
    <t>2. FocalY</t>
  </si>
  <si>
    <t>2. FocalX</t>
  </si>
  <si>
    <t>Summe von Price</t>
  </si>
  <si>
    <t>Spaltenbeschriftungen</t>
  </si>
  <si>
    <t>Zeilenbeschriftungen</t>
  </si>
  <si>
    <t>OP1</t>
  </si>
  <si>
    <t>OP2</t>
  </si>
  <si>
    <t>CarryIn</t>
  </si>
  <si>
    <t>R</t>
  </si>
  <si>
    <t>S</t>
  </si>
  <si>
    <t>V</t>
  </si>
  <si>
    <t>CarryOut</t>
  </si>
  <si>
    <t>Result</t>
  </si>
  <si>
    <t>OP2-Bin</t>
  </si>
  <si>
    <t>OP1-Bin</t>
  </si>
  <si>
    <t>OP1-Dec</t>
  </si>
  <si>
    <t>OP2-Dec</t>
  </si>
  <si>
    <t>BIN/DEC</t>
  </si>
  <si>
    <t>OP1-Dec-&gt;Bin(Sub)</t>
  </si>
  <si>
    <t>OP2-Dec-&gt;Bin(Sub)</t>
  </si>
  <si>
    <t>OP1-Dec-&gt;Bin(Num)</t>
  </si>
  <si>
    <t>OP2-Dec-&gt;Bin(Num)</t>
  </si>
  <si>
    <t>A=And(OP1,OP2)</t>
  </si>
  <si>
    <t>B=Or(OP1,OP2)</t>
  </si>
  <si>
    <t>C=And(B,CarryIn)</t>
  </si>
  <si>
    <t>D=Or(C,A,S)</t>
  </si>
  <si>
    <t>E=Inv(D)</t>
  </si>
  <si>
    <t>F=Or(E,R)</t>
  </si>
  <si>
    <t>CarryOut=Inv(F)</t>
  </si>
  <si>
    <t>G=Or(E,V)</t>
  </si>
  <si>
    <t>I=And(G,H)</t>
  </si>
  <si>
    <t>J=And(OP1,OP2,CarryIn)</t>
  </si>
  <si>
    <t>H=Or(OP1,OP2,CarryIn)</t>
  </si>
  <si>
    <t>K=Or(I,J)</t>
  </si>
  <si>
    <t>OP1-BIN</t>
  </si>
  <si>
    <t>OP2-BIN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</si>
</sst>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* #,##0.00\ &quot;€&quot;_-;\-* #,##0.00\ &quot;€&quot;_-;_-* &quot;-&quot;??\ &quot;€&quot;_-;_-@_-"/>
    <numFmt numFmtId="164" formatCode="_-* #,##0.00\ [$€-407]_-;\-* #,##0.00\ [$€-407]_-;_-* &quot;-&quot;??\ [$€-407]_-;_-@_-"/>
    <numFmt numFmtId="165" formatCode="_-[$$-409]* #,##0.00_ ;_-[$$-409]* \-#,##0.00\ ;_-[$$-409]* &quot;-&quot;??_ ;_-@_ "/>
    <numFmt numFmtId="166" formatCode="mmm\ yyyy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8" tint="0.79998168889431442"/>
        <bgColor theme="8" tint="0.79998168889431442"/>
      </patternFill>
    </fill>
    <fill>
      <patternFill patternType="solid">
        <fgColor theme="8"/>
        <bgColor theme="8"/>
      </patternFill>
    </fill>
    <fill>
      <patternFill patternType="solid">
        <fgColor theme="5"/>
        <bgColor theme="5"/>
      </patternFill>
    </fill>
    <fill>
      <patternFill patternType="solid">
        <fgColor theme="5" tint="0.79998168889431442"/>
        <bgColor theme="5" tint="0.79998168889431442"/>
      </patternFill>
    </fill>
    <fill>
      <patternFill patternType="solid">
        <fgColor theme="5" tint="0.59999389629810485"/>
        <bgColor theme="5" tint="0.59999389629810485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theme="8" tint="0.39997558519241921"/>
      </left>
      <right/>
      <top style="thin">
        <color theme="8" tint="0.39997558519241921"/>
      </top>
      <bottom style="thin">
        <color theme="8" tint="0.39997558519241921"/>
      </bottom>
      <diagonal/>
    </border>
    <border>
      <left/>
      <right/>
      <top style="thin">
        <color theme="8" tint="0.39997558519241921"/>
      </top>
      <bottom style="thin">
        <color theme="8" tint="0.39997558519241921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8">
    <xf numFmtId="0" fontId="0" fillId="0" borderId="0" xfId="0"/>
    <xf numFmtId="17" fontId="0" fillId="0" borderId="0" xfId="0" applyNumberFormat="1"/>
    <xf numFmtId="164" fontId="0" fillId="0" borderId="0" xfId="0" applyNumberFormat="1"/>
    <xf numFmtId="44" fontId="0" fillId="0" borderId="0" xfId="1" applyFont="1"/>
    <xf numFmtId="165" fontId="0" fillId="0" borderId="0" xfId="0" applyNumberFormat="1"/>
    <xf numFmtId="0" fontId="0" fillId="0" borderId="0" xfId="1" applyNumberFormat="1" applyFont="1"/>
    <xf numFmtId="14" fontId="0" fillId="0" borderId="0" xfId="0" applyNumberFormat="1"/>
    <xf numFmtId="166" fontId="0" fillId="0" borderId="0" xfId="0" applyNumberFormat="1"/>
    <xf numFmtId="16" fontId="0" fillId="0" borderId="0" xfId="0" applyNumberFormat="1"/>
    <xf numFmtId="2" fontId="0" fillId="0" borderId="0" xfId="0" applyNumberFormat="1"/>
    <xf numFmtId="44" fontId="0" fillId="0" borderId="0" xfId="0" applyNumberFormat="1"/>
    <xf numFmtId="0" fontId="0" fillId="2" borderId="1" xfId="0" applyFill="1" applyBorder="1"/>
    <xf numFmtId="0" fontId="0" fillId="0" borderId="1" xfId="0" applyBorder="1"/>
    <xf numFmtId="0" fontId="0" fillId="2" borderId="2" xfId="0" applyFill="1" applyBorder="1"/>
    <xf numFmtId="0" fontId="0" fillId="0" borderId="2" xfId="0" applyBorder="1"/>
    <xf numFmtId="0" fontId="3" fillId="3" borderId="1" xfId="0" applyFont="1" applyFill="1" applyBorder="1"/>
    <xf numFmtId="0" fontId="3" fillId="3" borderId="2" xfId="0" applyFont="1" applyFill="1" applyBorder="1"/>
    <xf numFmtId="2" fontId="0" fillId="0" borderId="2" xfId="0" applyNumberFormat="1" applyBorder="1"/>
    <xf numFmtId="2" fontId="0" fillId="2" borderId="2" xfId="0" applyNumberFormat="1" applyFill="1" applyBorder="1"/>
    <xf numFmtId="0" fontId="3" fillId="4" borderId="7" xfId="0" applyFont="1" applyFill="1" applyBorder="1"/>
    <xf numFmtId="0" fontId="0" fillId="6" borderId="3" xfId="0" applyFill="1" applyBorder="1"/>
    <xf numFmtId="0" fontId="0" fillId="5" borderId="3" xfId="0" applyFill="1" applyBorder="1"/>
    <xf numFmtId="0" fontId="0" fillId="5" borderId="5" xfId="0" applyFill="1" applyBorder="1"/>
    <xf numFmtId="0" fontId="3" fillId="4" borderId="8" xfId="0" applyFont="1" applyFill="1" applyBorder="1"/>
    <xf numFmtId="0" fontId="0" fillId="6" borderId="4" xfId="0" applyFill="1" applyBorder="1"/>
    <xf numFmtId="0" fontId="0" fillId="5" borderId="4" xfId="0" applyFill="1" applyBorder="1"/>
    <xf numFmtId="0" fontId="0" fillId="5" borderId="6" xfId="0" applyFill="1" applyBorder="1"/>
    <xf numFmtId="0" fontId="0" fillId="0" borderId="0" xfId="0" applyAlignment="1">
      <alignment horizontal="right"/>
    </xf>
    <xf numFmtId="9" fontId="0" fillId="0" borderId="0" xfId="0" applyNumberFormat="1"/>
    <xf numFmtId="9" fontId="0" fillId="0" borderId="0" xfId="2" applyFont="1"/>
    <xf numFmtId="0" fontId="0" fillId="0" borderId="0" xfId="0" applyAlignment="1">
      <alignment horizontal="center"/>
    </xf>
    <xf numFmtId="165" fontId="0" fillId="0" borderId="0" xfId="1" applyNumberFormat="1" applyFont="1"/>
    <xf numFmtId="165" fontId="0" fillId="0" borderId="0" xfId="1" applyNumberFormat="1" applyFont="1" applyAlignment="1">
      <alignment horizontal="right"/>
    </xf>
    <xf numFmtId="0" fontId="0" fillId="0" borderId="0" xfId="0" applyAlignment="1">
      <alignment horizontal="left"/>
    </xf>
    <xf numFmtId="0" fontId="0" fillId="0" borderId="0" xfId="0" applyAlignment="1">
      <alignment wrapText="1"/>
    </xf>
    <xf numFmtId="0" fontId="0" fillId="0" borderId="0" xfId="0" pivotButton="1"/>
    <xf numFmtId="0" fontId="0" fillId="0" borderId="0" xfId="0" quotePrefix="1"/>
    <xf numFmtId="0" fontId="0" fillId="0" borderId="0" xfId="0" applyAlignment="1">
      <alignment horizontal="left" indent="1"/>
    </xf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ont="1" applyFill="1"/>
  </cellXfs>
  <cellStyles count="3">
    <cellStyle name="Prozent" xfId="2" builtinId="5"/>
    <cellStyle name="Standard" xfId="0" builtinId="0"/>
    <cellStyle name="Währung" xfId="1" builtinId="4"/>
  </cellStyles>
  <dxfs count="29">
    <dxf>
      <numFmt numFmtId="165" formatCode="_-[$$-409]* #,##0.00_ ;_-[$$-409]* \-#,##0.00\ ;_-[$$-409]* &quot;-&quot;??_ ;_-@_ "/>
    </dxf>
    <dxf>
      <numFmt numFmtId="165" formatCode="_-[$$-409]* #,##0.00_ ;_-[$$-409]* \-#,##0.00\ ;_-[$$-409]* &quot;-&quot;??_ ;_-@_ "/>
    </dxf>
    <dxf>
      <numFmt numFmtId="165" formatCode="_-[$$-409]* #,##0.00_ ;_-[$$-409]* \-#,##0.00\ ;_-[$$-409]* &quot;-&quot;??_ ;_-@_ "/>
    </dxf>
    <dxf>
      <numFmt numFmtId="165" formatCode="_-[$$-409]* #,##0.00_ ;_-[$$-409]* \-#,##0.00\ ;_-[$$-409]* &quot;-&quot;??_ ;_-@_ "/>
    </dxf>
    <dxf>
      <numFmt numFmtId="165" formatCode="_-[$$-409]* #,##0.00_ ;_-[$$-409]* \-#,##0.00\ ;_-[$$-409]* &quot;-&quot;??_ ;_-@_ "/>
    </dxf>
    <dxf>
      <numFmt numFmtId="165" formatCode="_-[$$-409]* #,##0.00_ ;_-[$$-409]* \-#,##0.00\ ;_-[$$-409]* &quot;-&quot;??_ ;_-@_ "/>
    </dxf>
    <dxf>
      <numFmt numFmtId="165" formatCode="_-[$$-409]* #,##0.00_ ;_-[$$-409]* \-#,##0.00\ ;_-[$$-409]* &quot;-&quot;??_ ;_-@_ "/>
    </dxf>
    <dxf>
      <numFmt numFmtId="165" formatCode="_-[$$-409]* #,##0.00_ ;_-[$$-409]* \-#,##0.00\ ;_-[$$-409]* &quot;-&quot;??_ ;_-@_ "/>
    </dxf>
    <dxf>
      <numFmt numFmtId="165" formatCode="_-[$$-409]* #,##0.00_ ;_-[$$-409]* \-#,##0.00\ ;_-[$$-409]* &quot;-&quot;??_ ;_-@_ "/>
    </dxf>
    <dxf>
      <numFmt numFmtId="165" formatCode="_-[$$-409]* #,##0.00_ ;_-[$$-409]* \-#,##0.00\ ;_-[$$-409]* &quot;-&quot;??_ ;_-@_ "/>
    </dxf>
    <dxf>
      <numFmt numFmtId="165" formatCode="_-[$$-409]* #,##0.00_ ;_-[$$-409]* \-#,##0.00\ ;_-[$$-409]* &quot;-&quot;??_ ;_-@_ "/>
    </dxf>
    <dxf>
      <numFmt numFmtId="165" formatCode="_-[$$-409]* #,##0.00_ ;_-[$$-409]* \-#,##0.00\ ;_-[$$-409]* &quot;-&quot;??_ ;_-@_ "/>
    </dxf>
    <dxf>
      <numFmt numFmtId="165" formatCode="_-[$$-409]* #,##0.00_ ;_-[$$-409]* \-#,##0.00\ ;_-[$$-409]* &quot;-&quot;??_ ;_-@_ "/>
    </dxf>
    <dxf>
      <numFmt numFmtId="166" formatCode="mmm\ yyyy"/>
    </dxf>
    <dxf>
      <numFmt numFmtId="164" formatCode="_-* #,##0.00\ [$€-407]_-;\-* #,##0.00\ [$€-407]_-;_-* &quot;-&quot;??\ [$€-407]_-;_-@_-"/>
    </dxf>
    <dxf>
      <numFmt numFmtId="164" formatCode="_-* #,##0.00\ [$€-407]_-;\-* #,##0.00\ [$€-407]_-;_-* &quot;-&quot;??\ [$€-407]_-;_-@_-"/>
    </dxf>
    <dxf>
      <numFmt numFmtId="164" formatCode="_-* #,##0.00\ [$€-407]_-;\-* #,##0.00\ [$€-407]_-;_-* &quot;-&quot;??\ [$€-407]_-;_-@_-"/>
    </dxf>
    <dxf>
      <numFmt numFmtId="164" formatCode="_-* #,##0.00\ [$€-407]_-;\-* #,##0.00\ [$€-407]_-;_-* &quot;-&quot;??\ [$€-407]_-;_-@_-"/>
    </dxf>
    <dxf>
      <numFmt numFmtId="164" formatCode="_-* #,##0.00\ [$€-407]_-;\-* #,##0.00\ [$€-407]_-;_-* &quot;-&quot;??\ [$€-407]_-;_-@_-"/>
    </dxf>
    <dxf>
      <numFmt numFmtId="164" formatCode="_-* #,##0.00\ [$€-407]_-;\-* #,##0.00\ [$€-407]_-;_-* &quot;-&quot;??\ [$€-407]_-;_-@_-"/>
    </dxf>
    <dxf>
      <numFmt numFmtId="164" formatCode="_-* #,##0.00\ [$€-407]_-;\-* #,##0.00\ [$€-407]_-;_-* &quot;-&quot;??\ [$€-407]_-;_-@_-"/>
    </dxf>
    <dxf>
      <numFmt numFmtId="164" formatCode="_-* #,##0.00\ [$€-407]_-;\-* #,##0.00\ [$€-407]_-;_-* &quot;-&quot;??\ [$€-407]_-;_-@_-"/>
    </dxf>
    <dxf>
      <numFmt numFmtId="164" formatCode="_-* #,##0.00\ [$€-407]_-;\-* #,##0.00\ [$€-407]_-;_-* &quot;-&quot;??\ [$€-407]_-;_-@_-"/>
    </dxf>
    <dxf>
      <numFmt numFmtId="164" formatCode="_-* #,##0.00\ [$€-407]_-;\-* #,##0.00\ [$€-407]_-;_-* &quot;-&quot;??\ [$€-407]_-;_-@_-"/>
    </dxf>
    <dxf>
      <numFmt numFmtId="164" formatCode="_-* #,##0.00\ [$€-407]_-;\-* #,##0.00\ [$€-407]_-;_-* &quot;-&quot;??\ [$€-407]_-;_-@_-"/>
    </dxf>
    <dxf>
      <numFmt numFmtId="164" formatCode="_-* #,##0.00\ [$€-407]_-;\-* #,##0.00\ [$€-407]_-;_-* &quot;-&quot;??\ [$€-407]_-;_-@_-"/>
    </dxf>
    <dxf>
      <numFmt numFmtId="164" formatCode="_-* #,##0.00\ [$€-407]_-;\-* #,##0.00\ [$€-407]_-;_-* &quot;-&quot;??\ [$€-407]_-;_-@_-"/>
    </dxf>
    <dxf>
      <numFmt numFmtId="164" formatCode="_-* #,##0.00\ [$€-407]_-;\-* #,##0.00\ [$€-407]_-;_-* &quot;-&quot;??\ [$€-407]_-;_-@_-"/>
    </dxf>
    <dxf>
      <numFmt numFmtId="164" formatCode="_-* #,##0.00\ [$€-407]_-;\-* #,##0.00\ [$€-407]_-;_-* &quot;-&quot;??\ [$€-407]_-;_-@_-"/>
    </dxf>
  </dxfs>
  <tableStyles count="0" defaultTableStyle="TableStyleMedium2" defaultPivotStyle="PivotStyleLight16"/>
  <colors>
    <mruColors>
      <color rgb="FFDAFE0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microsoft.com/office/2023/09/relationships/Python" Target="pyth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>
        <c:manualLayout>
          <c:layoutTarget val="inner"/>
          <c:xMode val="edge"/>
          <c:yMode val="edge"/>
          <c:x val="0.12847992104053327"/>
          <c:y val="0.19345613571688086"/>
          <c:w val="0.83640825840259292"/>
          <c:h val="0.72561359279097271"/>
        </c:manualLayout>
      </c:layout>
      <c:lineChart>
        <c:grouping val="standard"/>
        <c:varyColors val="0"/>
        <c:ser>
          <c:idx val="0"/>
          <c:order val="0"/>
          <c:tx>
            <c:v>Überbleibsel</c:v>
          </c:tx>
          <c:spPr>
            <a:ln w="34925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none"/>
          </c:marker>
          <c:cat>
            <c:strRef>
              <c:f>Tabelle1!$B$2:$M$2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Mär</c:v>
                </c:pt>
                <c:pt idx="3">
                  <c:v>Apr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Okt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Tabelle1!$B$13:$M$13</c:f>
              <c:numCache>
                <c:formatCode>_-* #,##0.00\ [$€-407]_-;\-* #,##0.00\ [$€-407]_-;_-* "-"??\ [$€-407]_-;_-@_-</c:formatCode>
                <c:ptCount val="12"/>
                <c:pt idx="0">
                  <c:v>494</c:v>
                </c:pt>
                <c:pt idx="1">
                  <c:v>490</c:v>
                </c:pt>
                <c:pt idx="2">
                  <c:v>486</c:v>
                </c:pt>
                <c:pt idx="3">
                  <c:v>482</c:v>
                </c:pt>
                <c:pt idx="4">
                  <c:v>478</c:v>
                </c:pt>
                <c:pt idx="5">
                  <c:v>499</c:v>
                </c:pt>
                <c:pt idx="6">
                  <c:v>500</c:v>
                </c:pt>
                <c:pt idx="7">
                  <c:v>501</c:v>
                </c:pt>
                <c:pt idx="8">
                  <c:v>491</c:v>
                </c:pt>
                <c:pt idx="9">
                  <c:v>503</c:v>
                </c:pt>
                <c:pt idx="10">
                  <c:v>504</c:v>
                </c:pt>
                <c:pt idx="11">
                  <c:v>504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F2A-41AB-8714-4F69BDC77F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505579440"/>
        <c:axId val="505578480"/>
      </c:lineChart>
      <c:catAx>
        <c:axId val="5055794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1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505578480"/>
        <c:crosses val="autoZero"/>
        <c:auto val="1"/>
        <c:lblAlgn val="ctr"/>
        <c:lblOffset val="100"/>
        <c:noMultiLvlLbl val="0"/>
      </c:catAx>
      <c:valAx>
        <c:axId val="505578480"/>
        <c:scaling>
          <c:orientation val="minMax"/>
        </c:scaling>
        <c:delete val="0"/>
        <c:axPos val="l"/>
        <c:numFmt formatCode="_-* #,##0.00\ [$€-407]_-;\-* #,##0.00\ [$€-407]_-;_-* &quot;-&quot;??\ [$€-407]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5055794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Tabelle1!$B$49:$V$49</c:f>
              <c:numCache>
                <c:formatCode>General</c:formatCode>
                <c:ptCount val="21"/>
                <c:pt idx="0">
                  <c:v>-10</c:v>
                </c:pt>
                <c:pt idx="1">
                  <c:v>-9</c:v>
                </c:pt>
                <c:pt idx="2">
                  <c:v>-8</c:v>
                </c:pt>
                <c:pt idx="3">
                  <c:v>-7</c:v>
                </c:pt>
                <c:pt idx="4">
                  <c:v>-6</c:v>
                </c:pt>
                <c:pt idx="5">
                  <c:v>-5</c:v>
                </c:pt>
                <c:pt idx="6">
                  <c:v>-4</c:v>
                </c:pt>
                <c:pt idx="7">
                  <c:v>-3</c:v>
                </c:pt>
                <c:pt idx="8">
                  <c:v>-2</c:v>
                </c:pt>
                <c:pt idx="9">
                  <c:v>-1</c:v>
                </c:pt>
                <c:pt idx="10">
                  <c:v>0</c:v>
                </c:pt>
                <c:pt idx="11">
                  <c:v>1</c:v>
                </c:pt>
                <c:pt idx="12">
                  <c:v>2</c:v>
                </c:pt>
                <c:pt idx="13">
                  <c:v>3</c:v>
                </c:pt>
                <c:pt idx="14">
                  <c:v>4</c:v>
                </c:pt>
                <c:pt idx="15">
                  <c:v>5</c:v>
                </c:pt>
                <c:pt idx="16">
                  <c:v>6</c:v>
                </c:pt>
                <c:pt idx="17">
                  <c:v>7</c:v>
                </c:pt>
                <c:pt idx="18">
                  <c:v>8</c:v>
                </c:pt>
                <c:pt idx="19">
                  <c:v>9</c:v>
                </c:pt>
                <c:pt idx="20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D90-4E0F-80F7-37F0E45768A7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Tabelle1!$B$50:$V$50</c:f>
              <c:numCache>
                <c:formatCode>General</c:formatCode>
                <c:ptCount val="21"/>
                <c:pt idx="0">
                  <c:v>100</c:v>
                </c:pt>
                <c:pt idx="1">
                  <c:v>81</c:v>
                </c:pt>
                <c:pt idx="2">
                  <c:v>64</c:v>
                </c:pt>
                <c:pt idx="3">
                  <c:v>49</c:v>
                </c:pt>
                <c:pt idx="4">
                  <c:v>36</c:v>
                </c:pt>
                <c:pt idx="5">
                  <c:v>25</c:v>
                </c:pt>
                <c:pt idx="6">
                  <c:v>16</c:v>
                </c:pt>
                <c:pt idx="7">
                  <c:v>9</c:v>
                </c:pt>
                <c:pt idx="8">
                  <c:v>4</c:v>
                </c:pt>
                <c:pt idx="9">
                  <c:v>1</c:v>
                </c:pt>
                <c:pt idx="10">
                  <c:v>0</c:v>
                </c:pt>
                <c:pt idx="11">
                  <c:v>1</c:v>
                </c:pt>
                <c:pt idx="12">
                  <c:v>4</c:v>
                </c:pt>
                <c:pt idx="13">
                  <c:v>9</c:v>
                </c:pt>
                <c:pt idx="14">
                  <c:v>16</c:v>
                </c:pt>
                <c:pt idx="15">
                  <c:v>25</c:v>
                </c:pt>
                <c:pt idx="16">
                  <c:v>36</c:v>
                </c:pt>
                <c:pt idx="17">
                  <c:v>49</c:v>
                </c:pt>
                <c:pt idx="18">
                  <c:v>64</c:v>
                </c:pt>
                <c:pt idx="19">
                  <c:v>81</c:v>
                </c:pt>
                <c:pt idx="20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D90-4E0F-80F7-37F0E45768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68496319"/>
        <c:axId val="1468496799"/>
      </c:lineChart>
      <c:catAx>
        <c:axId val="146849631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468496799"/>
        <c:crosses val="autoZero"/>
        <c:auto val="1"/>
        <c:lblAlgn val="ctr"/>
        <c:lblOffset val="100"/>
        <c:noMultiLvlLbl val="0"/>
      </c:catAx>
      <c:valAx>
        <c:axId val="14684967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4684963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Tabelle1!$B$68:$V$68</c:f>
              <c:numCache>
                <c:formatCode>General</c:formatCode>
                <c:ptCount val="21"/>
                <c:pt idx="0">
                  <c:v>-10</c:v>
                </c:pt>
                <c:pt idx="1">
                  <c:v>-9</c:v>
                </c:pt>
                <c:pt idx="2">
                  <c:v>-8</c:v>
                </c:pt>
                <c:pt idx="3">
                  <c:v>-7</c:v>
                </c:pt>
                <c:pt idx="4">
                  <c:v>-6</c:v>
                </c:pt>
                <c:pt idx="5">
                  <c:v>-5</c:v>
                </c:pt>
                <c:pt idx="6">
                  <c:v>-4</c:v>
                </c:pt>
                <c:pt idx="7">
                  <c:v>-3</c:v>
                </c:pt>
                <c:pt idx="8">
                  <c:v>-2</c:v>
                </c:pt>
                <c:pt idx="9">
                  <c:v>-1</c:v>
                </c:pt>
                <c:pt idx="10">
                  <c:v>0</c:v>
                </c:pt>
                <c:pt idx="11">
                  <c:v>1</c:v>
                </c:pt>
                <c:pt idx="12">
                  <c:v>2</c:v>
                </c:pt>
                <c:pt idx="13">
                  <c:v>3</c:v>
                </c:pt>
                <c:pt idx="14">
                  <c:v>4</c:v>
                </c:pt>
                <c:pt idx="15">
                  <c:v>5</c:v>
                </c:pt>
                <c:pt idx="16">
                  <c:v>6</c:v>
                </c:pt>
                <c:pt idx="17">
                  <c:v>7</c:v>
                </c:pt>
                <c:pt idx="18">
                  <c:v>8</c:v>
                </c:pt>
                <c:pt idx="19">
                  <c:v>9</c:v>
                </c:pt>
                <c:pt idx="20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B14-4A75-9320-D4C88743165C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Tabelle1!$B$69:$V$69</c:f>
              <c:numCache>
                <c:formatCode>General</c:formatCode>
                <c:ptCount val="21"/>
                <c:pt idx="0">
                  <c:v>-1000</c:v>
                </c:pt>
                <c:pt idx="1">
                  <c:v>-729</c:v>
                </c:pt>
                <c:pt idx="2">
                  <c:v>-512</c:v>
                </c:pt>
                <c:pt idx="3">
                  <c:v>-343</c:v>
                </c:pt>
                <c:pt idx="4">
                  <c:v>-216</c:v>
                </c:pt>
                <c:pt idx="5">
                  <c:v>-125</c:v>
                </c:pt>
                <c:pt idx="6">
                  <c:v>-64</c:v>
                </c:pt>
                <c:pt idx="7">
                  <c:v>-27</c:v>
                </c:pt>
                <c:pt idx="8">
                  <c:v>-8</c:v>
                </c:pt>
                <c:pt idx="9">
                  <c:v>-1</c:v>
                </c:pt>
                <c:pt idx="10">
                  <c:v>0</c:v>
                </c:pt>
                <c:pt idx="11">
                  <c:v>1</c:v>
                </c:pt>
                <c:pt idx="12">
                  <c:v>8</c:v>
                </c:pt>
                <c:pt idx="13">
                  <c:v>27</c:v>
                </c:pt>
                <c:pt idx="14">
                  <c:v>64</c:v>
                </c:pt>
                <c:pt idx="15">
                  <c:v>125</c:v>
                </c:pt>
                <c:pt idx="16">
                  <c:v>216</c:v>
                </c:pt>
                <c:pt idx="17">
                  <c:v>343</c:v>
                </c:pt>
                <c:pt idx="18">
                  <c:v>512</c:v>
                </c:pt>
                <c:pt idx="19">
                  <c:v>729</c:v>
                </c:pt>
                <c:pt idx="20">
                  <c:v>1000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B14-4A75-9320-D4C8874316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76130415"/>
        <c:axId val="1876123695"/>
      </c:lineChart>
      <c:catAx>
        <c:axId val="187613041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876123695"/>
        <c:crosses val="autoZero"/>
        <c:auto val="1"/>
        <c:lblAlgn val="ctr"/>
        <c:lblOffset val="100"/>
        <c:noMultiLvlLbl val="0"/>
      </c:catAx>
      <c:valAx>
        <c:axId val="1876123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8761304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Tabelle1!$B$86:$V$86</c:f>
              <c:numCache>
                <c:formatCode>General</c:formatCode>
                <c:ptCount val="21"/>
                <c:pt idx="0">
                  <c:v>-10</c:v>
                </c:pt>
                <c:pt idx="1">
                  <c:v>-9</c:v>
                </c:pt>
                <c:pt idx="2">
                  <c:v>-8</c:v>
                </c:pt>
                <c:pt idx="3">
                  <c:v>-7</c:v>
                </c:pt>
                <c:pt idx="4">
                  <c:v>-6</c:v>
                </c:pt>
                <c:pt idx="5">
                  <c:v>-5</c:v>
                </c:pt>
                <c:pt idx="6">
                  <c:v>-4</c:v>
                </c:pt>
                <c:pt idx="7">
                  <c:v>-3</c:v>
                </c:pt>
                <c:pt idx="8">
                  <c:v>-2</c:v>
                </c:pt>
                <c:pt idx="9">
                  <c:v>-1</c:v>
                </c:pt>
                <c:pt idx="10">
                  <c:v>0</c:v>
                </c:pt>
                <c:pt idx="11">
                  <c:v>1</c:v>
                </c:pt>
                <c:pt idx="12">
                  <c:v>2</c:v>
                </c:pt>
                <c:pt idx="13">
                  <c:v>3</c:v>
                </c:pt>
                <c:pt idx="14">
                  <c:v>4</c:v>
                </c:pt>
                <c:pt idx="15">
                  <c:v>5</c:v>
                </c:pt>
                <c:pt idx="16">
                  <c:v>6</c:v>
                </c:pt>
                <c:pt idx="17">
                  <c:v>7</c:v>
                </c:pt>
                <c:pt idx="18">
                  <c:v>8</c:v>
                </c:pt>
                <c:pt idx="19">
                  <c:v>9</c:v>
                </c:pt>
                <c:pt idx="20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4D0-42D1-AA61-A05DF8E840EA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Tabelle1!$B$87:$V$87</c:f>
              <c:numCache>
                <c:formatCode>General</c:formatCode>
                <c:ptCount val="21"/>
                <c:pt idx="0">
                  <c:v>-20</c:v>
                </c:pt>
                <c:pt idx="1">
                  <c:v>-18</c:v>
                </c:pt>
                <c:pt idx="2">
                  <c:v>-16</c:v>
                </c:pt>
                <c:pt idx="3">
                  <c:v>-14</c:v>
                </c:pt>
                <c:pt idx="4">
                  <c:v>-12</c:v>
                </c:pt>
                <c:pt idx="5">
                  <c:v>-10</c:v>
                </c:pt>
                <c:pt idx="6">
                  <c:v>-8</c:v>
                </c:pt>
                <c:pt idx="7">
                  <c:v>-6</c:v>
                </c:pt>
                <c:pt idx="8">
                  <c:v>-4</c:v>
                </c:pt>
                <c:pt idx="9">
                  <c:v>-2</c:v>
                </c:pt>
                <c:pt idx="10">
                  <c:v>0</c:v>
                </c:pt>
                <c:pt idx="11">
                  <c:v>2</c:v>
                </c:pt>
                <c:pt idx="12">
                  <c:v>4</c:v>
                </c:pt>
                <c:pt idx="13">
                  <c:v>6</c:v>
                </c:pt>
                <c:pt idx="14">
                  <c:v>8</c:v>
                </c:pt>
                <c:pt idx="15">
                  <c:v>10</c:v>
                </c:pt>
                <c:pt idx="16">
                  <c:v>12</c:v>
                </c:pt>
                <c:pt idx="17">
                  <c:v>14</c:v>
                </c:pt>
                <c:pt idx="18">
                  <c:v>16</c:v>
                </c:pt>
                <c:pt idx="19">
                  <c:v>18</c:v>
                </c:pt>
                <c:pt idx="20">
                  <c:v>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4D0-42D1-AA61-A05DF8E840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12462960"/>
        <c:axId val="512462000"/>
      </c:lineChart>
      <c:catAx>
        <c:axId val="51246296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512462000"/>
        <c:crosses val="autoZero"/>
        <c:auto val="1"/>
        <c:lblAlgn val="ctr"/>
        <c:lblOffset val="100"/>
        <c:noMultiLvlLbl val="0"/>
      </c:catAx>
      <c:valAx>
        <c:axId val="512462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5124629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7861050002386496E-2"/>
          <c:y val="4.8970497816483674E-2"/>
          <c:w val="0.91524275777790143"/>
          <c:h val="0.90205900436703268"/>
        </c:manualLayout>
      </c:layout>
      <c:scatterChart>
        <c:scatterStyle val="lineMarker"/>
        <c:varyColors val="0"/>
        <c:ser>
          <c:idx val="0"/>
          <c:order val="0"/>
          <c:tx>
            <c:v>Vox1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Lit>
              <c:formatCode>General</c:formatCode>
              <c:ptCount val="1"/>
              <c:pt idx="0">
                <c:v>1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8-BED7-48C2-B2F4-4B9699A95348}"/>
            </c:ext>
          </c:extLst>
        </c:ser>
        <c:ser>
          <c:idx val="1"/>
          <c:order val="1"/>
          <c:tx>
            <c:v>Vox1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Tabelle1!$B$187</c:f>
              <c:numCache>
                <c:formatCode>General</c:formatCode>
                <c:ptCount val="1"/>
                <c:pt idx="0">
                  <c:v>0.54630248984379048</c:v>
                </c:pt>
              </c:numCache>
            </c:numRef>
          </c:xVal>
          <c:yVal>
            <c:numRef>
              <c:f>Tabelle1!$B$188</c:f>
              <c:numCache>
                <c:formatCode>General</c:formatCode>
                <c:ptCount val="1"/>
                <c:pt idx="0">
                  <c:v>0.54630248984379048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BED7-48C2-B2F4-4B9699A953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35476063"/>
        <c:axId val="1535476543"/>
      </c:scatterChart>
      <c:valAx>
        <c:axId val="1535476063"/>
        <c:scaling>
          <c:orientation val="minMax"/>
          <c:max val="0.8"/>
          <c:min val="-0.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535476543"/>
        <c:crosses val="autoZero"/>
        <c:crossBetween val="midCat"/>
      </c:valAx>
      <c:valAx>
        <c:axId val="1535476543"/>
        <c:scaling>
          <c:orientation val="minMax"/>
          <c:max val="0.60000000000000009"/>
          <c:min val="-0.6000000000000000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5354760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7861050002386496E-2"/>
          <c:y val="4.8970497816483674E-2"/>
          <c:w val="0.91524275777790143"/>
          <c:h val="0.90205900436703268"/>
        </c:manualLayout>
      </c:layout>
      <c:scatterChart>
        <c:scatterStyle val="lineMarker"/>
        <c:varyColors val="0"/>
        <c:ser>
          <c:idx val="10"/>
          <c:order val="0"/>
          <c:tx>
            <c:v>Vox1</c:v>
          </c:tx>
          <c:spPr>
            <a:ln w="25400">
              <a:noFill/>
            </a:ln>
          </c:spPr>
          <c:xVal>
            <c:numRef>
              <c:f>Tabelle1!$B$220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Tabelle1!$B$221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AD44-46DE-AF51-A911CC137B3A}"/>
            </c:ext>
          </c:extLst>
        </c:ser>
        <c:ser>
          <c:idx val="11"/>
          <c:order val="1"/>
          <c:tx>
            <c:v>Vox2</c:v>
          </c:tx>
          <c:spPr>
            <a:ln w="25400">
              <a:noFill/>
            </a:ln>
          </c:spPr>
          <c:xVal>
            <c:numRef>
              <c:f>Tabelle1!$C$220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Tabelle1!$C$221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AD44-46DE-AF51-A911CC137B3A}"/>
            </c:ext>
          </c:extLst>
        </c:ser>
        <c:ser>
          <c:idx val="12"/>
          <c:order val="2"/>
          <c:tx>
            <c:v>Vox3</c:v>
          </c:tx>
          <c:spPr>
            <a:ln w="25400">
              <a:noFill/>
            </a:ln>
          </c:spPr>
          <c:xVal>
            <c:numRef>
              <c:f>Tabelle1!$D$220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Tabelle1!$D$221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AD44-46DE-AF51-A911CC137B3A}"/>
            </c:ext>
          </c:extLst>
        </c:ser>
        <c:ser>
          <c:idx val="13"/>
          <c:order val="3"/>
          <c:tx>
            <c:v>Vox4</c:v>
          </c:tx>
          <c:spPr>
            <a:ln w="25400">
              <a:noFill/>
            </a:ln>
          </c:spPr>
          <c:xVal>
            <c:numRef>
              <c:f>Tabelle1!$E$220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Tabelle1!$E$221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AD44-46DE-AF51-A911CC137B3A}"/>
            </c:ext>
          </c:extLst>
        </c:ser>
        <c:ser>
          <c:idx val="14"/>
          <c:order val="4"/>
          <c:tx>
            <c:v>Vox5</c:v>
          </c:tx>
          <c:spPr>
            <a:ln w="25400">
              <a:noFill/>
            </a:ln>
          </c:spPr>
          <c:xVal>
            <c:numRef>
              <c:f>Tabelle1!$F$220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Tabelle1!$F$221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AD44-46DE-AF51-A911CC137B3A}"/>
            </c:ext>
          </c:extLst>
        </c:ser>
        <c:ser>
          <c:idx val="15"/>
          <c:order val="5"/>
          <c:tx>
            <c:v>Vox6</c:v>
          </c:tx>
          <c:spPr>
            <a:ln w="25400">
              <a:noFill/>
            </a:ln>
          </c:spPr>
          <c:xVal>
            <c:numRef>
              <c:f>Tabelle1!$G$220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Tabelle1!$G$221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AD44-46DE-AF51-A911CC137B3A}"/>
            </c:ext>
          </c:extLst>
        </c:ser>
        <c:ser>
          <c:idx val="16"/>
          <c:order val="6"/>
          <c:tx>
            <c:v>Vox7</c:v>
          </c:tx>
          <c:spPr>
            <a:ln w="25400">
              <a:noFill/>
            </a:ln>
          </c:spPr>
          <c:xVal>
            <c:numRef>
              <c:f>Tabelle1!$H$220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Tabelle1!$H$221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AD44-46DE-AF51-A911CC137B3A}"/>
            </c:ext>
          </c:extLst>
        </c:ser>
        <c:ser>
          <c:idx val="17"/>
          <c:order val="7"/>
          <c:tx>
            <c:v>Vox8</c:v>
          </c:tx>
          <c:spPr>
            <a:ln w="25400">
              <a:noFill/>
            </a:ln>
          </c:spPr>
          <c:xVal>
            <c:numRef>
              <c:f>Tabelle1!$I$220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Tabelle1!$I$221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B-AD44-46DE-AF51-A911CC137B3A}"/>
            </c:ext>
          </c:extLst>
        </c:ser>
        <c:ser>
          <c:idx val="18"/>
          <c:order val="8"/>
          <c:tx>
            <c:v>Vox9</c:v>
          </c:tx>
          <c:spPr>
            <a:ln w="25400">
              <a:noFill/>
            </a:ln>
          </c:spPr>
          <c:xVal>
            <c:numRef>
              <c:f>Tabelle1!$J$220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Tabelle1!$J$221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C-AD44-46DE-AF51-A911CC137B3A}"/>
            </c:ext>
          </c:extLst>
        </c:ser>
        <c:ser>
          <c:idx val="19"/>
          <c:order val="9"/>
          <c:tx>
            <c:v>Vox10</c:v>
          </c:tx>
          <c:spPr>
            <a:ln w="25400">
              <a:noFill/>
            </a:ln>
          </c:spPr>
          <c:xVal>
            <c:numRef>
              <c:f>Tabelle1!$K$220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Tabelle1!$K$221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D-AD44-46DE-AF51-A911CC137B3A}"/>
            </c:ext>
          </c:extLst>
        </c:ser>
        <c:ser>
          <c:idx val="0"/>
          <c:order val="10"/>
          <c:tx>
            <c:v>Vox1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Tabelle1!$B$220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Tabelle1!$B$221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D44-46DE-AF51-A911CC137B3A}"/>
            </c:ext>
          </c:extLst>
        </c:ser>
        <c:ser>
          <c:idx val="1"/>
          <c:order val="11"/>
          <c:tx>
            <c:v>Vox2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Tabelle1!$C$220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Tabelle1!$C$221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D44-46DE-AF51-A911CC137B3A}"/>
            </c:ext>
          </c:extLst>
        </c:ser>
        <c:ser>
          <c:idx val="2"/>
          <c:order val="12"/>
          <c:tx>
            <c:v>Vox3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Tabelle1!$D$220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Tabelle1!$D$221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AD44-46DE-AF51-A911CC137B3A}"/>
            </c:ext>
          </c:extLst>
        </c:ser>
        <c:ser>
          <c:idx val="3"/>
          <c:order val="13"/>
          <c:tx>
            <c:v>Vox4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Tabelle1!$E$220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Tabelle1!$E$221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AD44-46DE-AF51-A911CC137B3A}"/>
            </c:ext>
          </c:extLst>
        </c:ser>
        <c:ser>
          <c:idx val="4"/>
          <c:order val="14"/>
          <c:tx>
            <c:v>Vox5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Tabelle1!$F$220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Tabelle1!$F$221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AD44-46DE-AF51-A911CC137B3A}"/>
            </c:ext>
          </c:extLst>
        </c:ser>
        <c:ser>
          <c:idx val="5"/>
          <c:order val="15"/>
          <c:tx>
            <c:v>Vox6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Tabelle1!$G$220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Tabelle1!$G$221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AD44-46DE-AF51-A911CC137B3A}"/>
            </c:ext>
          </c:extLst>
        </c:ser>
        <c:ser>
          <c:idx val="6"/>
          <c:order val="16"/>
          <c:tx>
            <c:v>Vox7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Tabelle1!$H$220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Tabelle1!$H$221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AD44-46DE-AF51-A911CC137B3A}"/>
            </c:ext>
          </c:extLst>
        </c:ser>
        <c:ser>
          <c:idx val="7"/>
          <c:order val="17"/>
          <c:tx>
            <c:v>Vox8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Tabelle1!$I$220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Tabelle1!$I$221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AD44-46DE-AF51-A911CC137B3A}"/>
            </c:ext>
          </c:extLst>
        </c:ser>
        <c:ser>
          <c:idx val="8"/>
          <c:order val="18"/>
          <c:tx>
            <c:v>Vox9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Tabelle1!$J$220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Tabelle1!$J$221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AD44-46DE-AF51-A911CC137B3A}"/>
            </c:ext>
          </c:extLst>
        </c:ser>
        <c:ser>
          <c:idx val="9"/>
          <c:order val="19"/>
          <c:tx>
            <c:v>Vox10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Tabelle1!$K$220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Tabelle1!$K$221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AD44-46DE-AF51-A911CC137B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35476063"/>
        <c:axId val="1535476543"/>
      </c:scatterChart>
      <c:valAx>
        <c:axId val="1535476063"/>
        <c:scaling>
          <c:orientation val="minMax"/>
          <c:max val="0.8"/>
          <c:min val="-0.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535476543"/>
        <c:crosses val="autoZero"/>
        <c:crossBetween val="midCat"/>
      </c:valAx>
      <c:valAx>
        <c:axId val="1535476543"/>
        <c:scaling>
          <c:orientation val="minMax"/>
          <c:max val="0.60000000000000009"/>
          <c:min val="-0.6000000000000000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535476063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7861050002386496E-2"/>
          <c:y val="4.8970497816483674E-2"/>
          <c:w val="0.91524275777790143"/>
          <c:h val="0.90205900436703268"/>
        </c:manualLayout>
      </c:layout>
      <c:bubbleChart>
        <c:varyColors val="0"/>
        <c:ser>
          <c:idx val="16"/>
          <c:order val="0"/>
          <c:tx>
            <c:v>Vox1</c:v>
          </c:tx>
          <c:invertIfNegative val="0"/>
          <c:xVal>
            <c:numRef>
              <c:f>Tabelle1!$B$253</c:f>
              <c:numCache>
                <c:formatCode>General</c:formatCode>
                <c:ptCount val="1"/>
                <c:pt idx="0">
                  <c:v>-1</c:v>
                </c:pt>
              </c:numCache>
            </c:numRef>
          </c:xVal>
          <c:yVal>
            <c:numRef>
              <c:f>Tabelle1!$B$254</c:f>
              <c:numCache>
                <c:formatCode>General</c:formatCode>
                <c:ptCount val="1"/>
                <c:pt idx="0">
                  <c:v>-1</c:v>
                </c:pt>
              </c:numCache>
            </c:numRef>
          </c:yVal>
          <c:bubbleSize>
            <c:numLit>
              <c:formatCode>General</c:formatCode>
              <c:ptCount val="1"/>
              <c:pt idx="0">
                <c:v>1</c:v>
              </c:pt>
            </c:numLit>
          </c:bubbleSize>
          <c:bubble3D val="1"/>
          <c:extLst>
            <c:ext xmlns:c16="http://schemas.microsoft.com/office/drawing/2014/chart" uri="{C3380CC4-5D6E-409C-BE32-E72D297353CC}">
              <c16:uniqueId val="{00000038-6D0D-4C79-85B0-F4D823EDFB4A}"/>
            </c:ext>
          </c:extLst>
        </c:ser>
        <c:ser>
          <c:idx val="17"/>
          <c:order val="1"/>
          <c:tx>
            <c:v>Vox2</c:v>
          </c:tx>
          <c:invertIfNegative val="0"/>
          <c:xVal>
            <c:numRef>
              <c:f>Tabelle1!$C$253</c:f>
              <c:numCache>
                <c:formatCode>General</c:formatCode>
                <c:ptCount val="1"/>
                <c:pt idx="0">
                  <c:v>-1</c:v>
                </c:pt>
              </c:numCache>
            </c:numRef>
          </c:xVal>
          <c:yVal>
            <c:numRef>
              <c:f>Tabelle1!$C$254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bubbleSize>
            <c:numLit>
              <c:formatCode>General</c:formatCode>
              <c:ptCount val="1"/>
              <c:pt idx="0">
                <c:v>1</c:v>
              </c:pt>
            </c:numLit>
          </c:bubbleSize>
          <c:bubble3D val="1"/>
          <c:extLst>
            <c:ext xmlns:c16="http://schemas.microsoft.com/office/drawing/2014/chart" uri="{C3380CC4-5D6E-409C-BE32-E72D297353CC}">
              <c16:uniqueId val="{00000039-6D0D-4C79-85B0-F4D823EDFB4A}"/>
            </c:ext>
          </c:extLst>
        </c:ser>
        <c:ser>
          <c:idx val="18"/>
          <c:order val="2"/>
          <c:tx>
            <c:v>Vox3</c:v>
          </c:tx>
          <c:invertIfNegative val="0"/>
          <c:xVal>
            <c:numRef>
              <c:f>Tabelle1!$D$253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Tabelle1!$D$254</c:f>
              <c:numCache>
                <c:formatCode>General</c:formatCode>
                <c:ptCount val="1"/>
                <c:pt idx="0">
                  <c:v>-1</c:v>
                </c:pt>
              </c:numCache>
            </c:numRef>
          </c:yVal>
          <c:bubbleSize>
            <c:numLit>
              <c:formatCode>General</c:formatCode>
              <c:ptCount val="1"/>
              <c:pt idx="0">
                <c:v>1</c:v>
              </c:pt>
            </c:numLit>
          </c:bubbleSize>
          <c:bubble3D val="1"/>
          <c:extLst>
            <c:ext xmlns:c16="http://schemas.microsoft.com/office/drawing/2014/chart" uri="{C3380CC4-5D6E-409C-BE32-E72D297353CC}">
              <c16:uniqueId val="{0000003A-6D0D-4C79-85B0-F4D823EDFB4A}"/>
            </c:ext>
          </c:extLst>
        </c:ser>
        <c:ser>
          <c:idx val="19"/>
          <c:order val="3"/>
          <c:tx>
            <c:v>Vox4</c:v>
          </c:tx>
          <c:invertIfNegative val="0"/>
          <c:xVal>
            <c:numRef>
              <c:f>Tabelle1!$E$253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Tabelle1!$E$254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bubbleSize>
            <c:numLit>
              <c:formatCode>General</c:formatCode>
              <c:ptCount val="1"/>
              <c:pt idx="0">
                <c:v>1</c:v>
              </c:pt>
            </c:numLit>
          </c:bubbleSize>
          <c:bubble3D val="1"/>
          <c:extLst>
            <c:ext xmlns:c16="http://schemas.microsoft.com/office/drawing/2014/chart" uri="{C3380CC4-5D6E-409C-BE32-E72D297353CC}">
              <c16:uniqueId val="{0000003B-6D0D-4C79-85B0-F4D823EDFB4A}"/>
            </c:ext>
          </c:extLst>
        </c:ser>
        <c:ser>
          <c:idx val="20"/>
          <c:order val="4"/>
          <c:tx>
            <c:v>Vox5</c:v>
          </c:tx>
          <c:invertIfNegative val="0"/>
          <c:xVal>
            <c:numRef>
              <c:f>Tabelle1!$F$253</c:f>
              <c:numCache>
                <c:formatCode>General</c:formatCode>
                <c:ptCount val="1"/>
                <c:pt idx="0">
                  <c:v>-0.5</c:v>
                </c:pt>
              </c:numCache>
            </c:numRef>
          </c:xVal>
          <c:yVal>
            <c:numRef>
              <c:f>Tabelle1!$F$254</c:f>
              <c:numCache>
                <c:formatCode>General</c:formatCode>
                <c:ptCount val="1"/>
                <c:pt idx="0">
                  <c:v>-0.5</c:v>
                </c:pt>
              </c:numCache>
            </c:numRef>
          </c:yVal>
          <c:bubbleSize>
            <c:numLit>
              <c:formatCode>General</c:formatCode>
              <c:ptCount val="1"/>
              <c:pt idx="0">
                <c:v>1</c:v>
              </c:pt>
            </c:numLit>
          </c:bubbleSize>
          <c:bubble3D val="1"/>
          <c:extLst>
            <c:ext xmlns:c16="http://schemas.microsoft.com/office/drawing/2014/chart" uri="{C3380CC4-5D6E-409C-BE32-E72D297353CC}">
              <c16:uniqueId val="{0000003C-6D0D-4C79-85B0-F4D823EDFB4A}"/>
            </c:ext>
          </c:extLst>
        </c:ser>
        <c:ser>
          <c:idx val="21"/>
          <c:order val="5"/>
          <c:tx>
            <c:v>Vox6</c:v>
          </c:tx>
          <c:invertIfNegative val="0"/>
          <c:xVal>
            <c:numRef>
              <c:f>Tabelle1!$G$253</c:f>
              <c:numCache>
                <c:formatCode>General</c:formatCode>
                <c:ptCount val="1"/>
                <c:pt idx="0">
                  <c:v>-0.5</c:v>
                </c:pt>
              </c:numCache>
            </c:numRef>
          </c:xVal>
          <c:yVal>
            <c:numRef>
              <c:f>Tabelle1!$G$254</c:f>
              <c:numCache>
                <c:formatCode>General</c:formatCode>
                <c:ptCount val="1"/>
                <c:pt idx="0">
                  <c:v>0.5</c:v>
                </c:pt>
              </c:numCache>
            </c:numRef>
          </c:yVal>
          <c:bubbleSize>
            <c:numLit>
              <c:formatCode>General</c:formatCode>
              <c:ptCount val="1"/>
              <c:pt idx="0">
                <c:v>1</c:v>
              </c:pt>
            </c:numLit>
          </c:bubbleSize>
          <c:bubble3D val="1"/>
          <c:extLst>
            <c:ext xmlns:c16="http://schemas.microsoft.com/office/drawing/2014/chart" uri="{C3380CC4-5D6E-409C-BE32-E72D297353CC}">
              <c16:uniqueId val="{0000003D-6D0D-4C79-85B0-F4D823EDFB4A}"/>
            </c:ext>
          </c:extLst>
        </c:ser>
        <c:ser>
          <c:idx val="22"/>
          <c:order val="6"/>
          <c:tx>
            <c:v>Vox7</c:v>
          </c:tx>
          <c:invertIfNegative val="0"/>
          <c:xVal>
            <c:numRef>
              <c:f>Tabelle1!$H$253</c:f>
              <c:numCache>
                <c:formatCode>General</c:formatCode>
                <c:ptCount val="1"/>
                <c:pt idx="0">
                  <c:v>0.5</c:v>
                </c:pt>
              </c:numCache>
            </c:numRef>
          </c:xVal>
          <c:yVal>
            <c:numRef>
              <c:f>Tabelle1!$H$254</c:f>
              <c:numCache>
                <c:formatCode>General</c:formatCode>
                <c:ptCount val="1"/>
                <c:pt idx="0">
                  <c:v>-0.5</c:v>
                </c:pt>
              </c:numCache>
            </c:numRef>
          </c:yVal>
          <c:bubbleSize>
            <c:numLit>
              <c:formatCode>General</c:formatCode>
              <c:ptCount val="1"/>
              <c:pt idx="0">
                <c:v>1</c:v>
              </c:pt>
            </c:numLit>
          </c:bubbleSize>
          <c:bubble3D val="1"/>
          <c:extLst>
            <c:ext xmlns:c16="http://schemas.microsoft.com/office/drawing/2014/chart" uri="{C3380CC4-5D6E-409C-BE32-E72D297353CC}">
              <c16:uniqueId val="{0000003E-6D0D-4C79-85B0-F4D823EDFB4A}"/>
            </c:ext>
          </c:extLst>
        </c:ser>
        <c:ser>
          <c:idx val="23"/>
          <c:order val="7"/>
          <c:tx>
            <c:v>Vox8</c:v>
          </c:tx>
          <c:invertIfNegative val="0"/>
          <c:xVal>
            <c:numRef>
              <c:f>Tabelle1!$I$253</c:f>
              <c:numCache>
                <c:formatCode>General</c:formatCode>
                <c:ptCount val="1"/>
                <c:pt idx="0">
                  <c:v>0.5</c:v>
                </c:pt>
              </c:numCache>
            </c:numRef>
          </c:xVal>
          <c:yVal>
            <c:numRef>
              <c:f>Tabelle1!$I$254</c:f>
              <c:numCache>
                <c:formatCode>General</c:formatCode>
                <c:ptCount val="1"/>
                <c:pt idx="0">
                  <c:v>0.5</c:v>
                </c:pt>
              </c:numCache>
            </c:numRef>
          </c:yVal>
          <c:bubbleSize>
            <c:numLit>
              <c:formatCode>General</c:formatCode>
              <c:ptCount val="1"/>
              <c:pt idx="0">
                <c:v>1</c:v>
              </c:pt>
            </c:numLit>
          </c:bubbleSize>
          <c:bubble3D val="1"/>
          <c:extLst>
            <c:ext xmlns:c16="http://schemas.microsoft.com/office/drawing/2014/chart" uri="{C3380CC4-5D6E-409C-BE32-E72D297353CC}">
              <c16:uniqueId val="{0000003F-6D0D-4C79-85B0-F4D823EDFB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bubbleScale val="100"/>
        <c:showNegBubbles val="0"/>
        <c:axId val="1535476063"/>
        <c:axId val="1535476543"/>
      </c:bubbleChart>
      <c:valAx>
        <c:axId val="1535476063"/>
        <c:scaling>
          <c:orientation val="minMax"/>
          <c:max val="2"/>
          <c:min val="-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535476543"/>
        <c:crosses val="autoZero"/>
        <c:crossBetween val="midCat"/>
      </c:valAx>
      <c:valAx>
        <c:axId val="1535476543"/>
        <c:scaling>
          <c:orientation val="minMax"/>
          <c:max val="1.5"/>
          <c:min val="-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535476063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7861050002386496E-2"/>
          <c:y val="4.8970497816483674E-2"/>
          <c:w val="0.91524275777790143"/>
          <c:h val="0.90205900436703268"/>
        </c:manualLayout>
      </c:layout>
      <c:scatterChart>
        <c:scatterStyle val="lineMarker"/>
        <c:varyColors val="0"/>
        <c:ser>
          <c:idx val="0"/>
          <c:order val="0"/>
          <c:tx>
            <c:v>Vox1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Tabelle1!$B$286</c:f>
              <c:numCache>
                <c:formatCode>General</c:formatCode>
                <c:ptCount val="1"/>
                <c:pt idx="0">
                  <c:v>-0.1</c:v>
                </c:pt>
              </c:numCache>
            </c:numRef>
          </c:xVal>
          <c:yVal>
            <c:numRef>
              <c:f>Tabelle1!$B$287</c:f>
              <c:numCache>
                <c:formatCode>General</c:formatCode>
                <c:ptCount val="1"/>
                <c:pt idx="0">
                  <c:v>-0.5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FE06-4B86-ACE8-2F463864B930}"/>
            </c:ext>
          </c:extLst>
        </c:ser>
        <c:ser>
          <c:idx val="1"/>
          <c:order val="1"/>
          <c:tx>
            <c:v>Vox2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Tabelle1!$C$286</c:f>
              <c:numCache>
                <c:formatCode>General</c:formatCode>
                <c:ptCount val="1"/>
                <c:pt idx="0">
                  <c:v>-9.0909090909090912E-2</c:v>
                </c:pt>
              </c:numCache>
            </c:numRef>
          </c:xVal>
          <c:yVal>
            <c:numRef>
              <c:f>Tabelle1!$C$287</c:f>
              <c:numCache>
                <c:formatCode>General</c:formatCode>
                <c:ptCount val="1"/>
                <c:pt idx="0">
                  <c:v>-0.45454545454545453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FE06-4B86-ACE8-2F463864B930}"/>
            </c:ext>
          </c:extLst>
        </c:ser>
        <c:ser>
          <c:idx val="2"/>
          <c:order val="2"/>
          <c:tx>
            <c:v>Vox3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Tabelle1!$D$286</c:f>
              <c:numCache>
                <c:formatCode>General</c:formatCode>
                <c:ptCount val="1"/>
                <c:pt idx="0">
                  <c:v>-8.3333333333333329E-2</c:v>
                </c:pt>
              </c:numCache>
            </c:numRef>
          </c:xVal>
          <c:yVal>
            <c:numRef>
              <c:f>Tabelle1!$D$287</c:f>
              <c:numCache>
                <c:formatCode>General</c:formatCode>
                <c:ptCount val="1"/>
                <c:pt idx="0">
                  <c:v>-0.41666666666666669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FE06-4B86-ACE8-2F463864B930}"/>
            </c:ext>
          </c:extLst>
        </c:ser>
        <c:ser>
          <c:idx val="3"/>
          <c:order val="3"/>
          <c:tx>
            <c:v>Vox4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Tabelle1!$E$286</c:f>
              <c:numCache>
                <c:formatCode>General</c:formatCode>
                <c:ptCount val="1"/>
                <c:pt idx="0">
                  <c:v>0</c:v>
                </c:pt>
              </c:numCache>
            </c:numRef>
          </c:xVal>
          <c:yVal>
            <c:numRef>
              <c:f>Tabelle1!$E$287</c:f>
              <c:numCache>
                <c:formatCode>General</c:formatCode>
                <c:ptCount val="1"/>
                <c:pt idx="0">
                  <c:v>-0.5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FE06-4B86-ACE8-2F463864B930}"/>
            </c:ext>
          </c:extLst>
        </c:ser>
        <c:ser>
          <c:idx val="4"/>
          <c:order val="4"/>
          <c:tx>
            <c:v>Vox5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Tabelle1!$F$286</c:f>
              <c:numCache>
                <c:formatCode>General</c:formatCode>
                <c:ptCount val="1"/>
                <c:pt idx="0">
                  <c:v>0</c:v>
                </c:pt>
              </c:numCache>
            </c:numRef>
          </c:xVal>
          <c:yVal>
            <c:numRef>
              <c:f>Tabelle1!$F$287</c:f>
              <c:numCache>
                <c:formatCode>General</c:formatCode>
                <c:ptCount val="1"/>
                <c:pt idx="0">
                  <c:v>-0.45454545454545453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FE06-4B86-ACE8-2F463864B930}"/>
            </c:ext>
          </c:extLst>
        </c:ser>
        <c:ser>
          <c:idx val="5"/>
          <c:order val="5"/>
          <c:tx>
            <c:v>Vox6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Tabelle1!$G$286</c:f>
              <c:numCache>
                <c:formatCode>General</c:formatCode>
                <c:ptCount val="1"/>
                <c:pt idx="0">
                  <c:v>0</c:v>
                </c:pt>
              </c:numCache>
            </c:numRef>
          </c:xVal>
          <c:yVal>
            <c:numRef>
              <c:f>Tabelle1!$G$287</c:f>
              <c:numCache>
                <c:formatCode>General</c:formatCode>
                <c:ptCount val="1"/>
                <c:pt idx="0">
                  <c:v>-0.41666666666666669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FE06-4B86-ACE8-2F463864B930}"/>
            </c:ext>
          </c:extLst>
        </c:ser>
        <c:ser>
          <c:idx val="6"/>
          <c:order val="6"/>
          <c:tx>
            <c:v>Vox7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Tabelle1!$H$286</c:f>
              <c:numCache>
                <c:formatCode>General</c:formatCode>
                <c:ptCount val="1"/>
                <c:pt idx="0">
                  <c:v>0.1</c:v>
                </c:pt>
              </c:numCache>
            </c:numRef>
          </c:xVal>
          <c:yVal>
            <c:numRef>
              <c:f>Tabelle1!$H$287</c:f>
              <c:numCache>
                <c:formatCode>General</c:formatCode>
                <c:ptCount val="1"/>
                <c:pt idx="0">
                  <c:v>-0.5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FE06-4B86-ACE8-2F463864B930}"/>
            </c:ext>
          </c:extLst>
        </c:ser>
        <c:ser>
          <c:idx val="7"/>
          <c:order val="7"/>
          <c:tx>
            <c:v>Vox8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Tabelle1!$I$286</c:f>
              <c:numCache>
                <c:formatCode>General</c:formatCode>
                <c:ptCount val="1"/>
                <c:pt idx="0">
                  <c:v>0.1</c:v>
                </c:pt>
              </c:numCache>
            </c:numRef>
          </c:xVal>
          <c:yVal>
            <c:numRef>
              <c:f>Tabelle1!$I$287</c:f>
              <c:numCache>
                <c:formatCode>General</c:formatCode>
                <c:ptCount val="1"/>
                <c:pt idx="0">
                  <c:v>-0.5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FE06-4B86-ACE8-2F463864B930}"/>
            </c:ext>
          </c:extLst>
        </c:ser>
        <c:ser>
          <c:idx val="8"/>
          <c:order val="8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Tabelle1!$B$286</c:f>
              <c:numCache>
                <c:formatCode>General</c:formatCode>
                <c:ptCount val="1"/>
                <c:pt idx="0">
                  <c:v>-0.1</c:v>
                </c:pt>
              </c:numCache>
            </c:numRef>
          </c:xVal>
          <c:yVal>
            <c:numRef>
              <c:f>Tabelle1!$B$282</c:f>
              <c:numCache>
                <c:formatCode>General</c:formatCode>
                <c:ptCount val="1"/>
                <c:pt idx="0">
                  <c:v>-1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AB2-466C-B298-596FBD33E432}"/>
            </c:ext>
          </c:extLst>
        </c:ser>
        <c:ser>
          <c:idx val="9"/>
          <c:order val="9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Tabelle1!$B$286</c:f>
              <c:numCache>
                <c:formatCode>General</c:formatCode>
                <c:ptCount val="1"/>
                <c:pt idx="0">
                  <c:v>-0.1</c:v>
                </c:pt>
              </c:numCache>
            </c:numRef>
          </c:xVal>
          <c:yVal>
            <c:numRef>
              <c:f>Tabelle1!$C$282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AB2-466C-B298-596FBD33E432}"/>
            </c:ext>
          </c:extLst>
        </c:ser>
        <c:ser>
          <c:idx val="10"/>
          <c:order val="1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Tabelle1!$B$286</c:f>
              <c:numCache>
                <c:formatCode>General</c:formatCode>
                <c:ptCount val="1"/>
                <c:pt idx="0">
                  <c:v>-0.1</c:v>
                </c:pt>
              </c:numCache>
            </c:numRef>
          </c:xVal>
          <c:yVal>
            <c:numRef>
              <c:f>Tabelle1!$D$282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AB2-466C-B298-596FBD33E4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35476063"/>
        <c:axId val="1535476543"/>
      </c:scatterChart>
      <c:valAx>
        <c:axId val="1535476063"/>
        <c:scaling>
          <c:orientation val="minMax"/>
          <c:max val="0.8"/>
          <c:min val="-0.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535476543"/>
        <c:crosses val="autoZero"/>
        <c:crossBetween val="midCat"/>
      </c:valAx>
      <c:valAx>
        <c:axId val="1535476543"/>
        <c:scaling>
          <c:orientation val="minMax"/>
          <c:max val="0.60000000000000009"/>
          <c:min val="-0.6000000000000000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5354760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v>Vox1Vox2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Tabelle1!$B$253:$C$253</c:f>
              <c:numCache>
                <c:formatCode>General</c:formatCode>
                <c:ptCount val="2"/>
                <c:pt idx="0">
                  <c:v>-1</c:v>
                </c:pt>
                <c:pt idx="1">
                  <c:v>-1</c:v>
                </c:pt>
              </c:numCache>
            </c:numRef>
          </c:xVal>
          <c:yVal>
            <c:numRef>
              <c:f>Tabelle1!$B$254:$C$254</c:f>
              <c:numCache>
                <c:formatCode>General</c:formatCode>
                <c:ptCount val="2"/>
                <c:pt idx="0">
                  <c:v>-1</c:v>
                </c:pt>
                <c:pt idx="1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1A6-4417-89A7-81A2A3E9D01B}"/>
            </c:ext>
          </c:extLst>
        </c:ser>
        <c:ser>
          <c:idx val="1"/>
          <c:order val="1"/>
          <c:tx>
            <c:v>Vox1Vox3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(Tabelle1!$B$253,Tabelle1!$D$253)</c:f>
              <c:numCache>
                <c:formatCode>General</c:formatCode>
                <c:ptCount val="2"/>
                <c:pt idx="0">
                  <c:v>-1</c:v>
                </c:pt>
                <c:pt idx="1">
                  <c:v>1</c:v>
                </c:pt>
              </c:numCache>
            </c:numRef>
          </c:xVal>
          <c:yVal>
            <c:numRef>
              <c:f>(Tabelle1!$B$254,Tabelle1!$D$254)</c:f>
              <c:numCache>
                <c:formatCode>General</c:formatCode>
                <c:ptCount val="2"/>
                <c:pt idx="0">
                  <c:v>-1</c:v>
                </c:pt>
                <c:pt idx="1">
                  <c:v>-1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1A6-4417-89A7-81A2A3E9D01B}"/>
            </c:ext>
          </c:extLst>
        </c:ser>
        <c:ser>
          <c:idx val="4"/>
          <c:order val="2"/>
          <c:tx>
            <c:v>Vox2Vox4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(Tabelle1!$C$253,Tabelle1!$E$253)</c:f>
              <c:numCache>
                <c:formatCode>General</c:formatCode>
                <c:ptCount val="2"/>
                <c:pt idx="0">
                  <c:v>-1</c:v>
                </c:pt>
                <c:pt idx="1">
                  <c:v>1</c:v>
                </c:pt>
              </c:numCache>
            </c:numRef>
          </c:xVal>
          <c:yVal>
            <c:numRef>
              <c:f>(Tabelle1!$C$254,Tabelle1!$E$254)</c:f>
              <c:numCache>
                <c:formatCode>General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F-61A6-4417-89A7-81A2A3E9D01B}"/>
            </c:ext>
          </c:extLst>
        </c:ser>
        <c:ser>
          <c:idx val="5"/>
          <c:order val="3"/>
          <c:tx>
            <c:v>Vox2Vox6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(Tabelle1!$C$253,Tabelle1!$G$253)</c:f>
              <c:numCache>
                <c:formatCode>General</c:formatCode>
                <c:ptCount val="2"/>
                <c:pt idx="0">
                  <c:v>-1</c:v>
                </c:pt>
                <c:pt idx="1">
                  <c:v>-0.5</c:v>
                </c:pt>
              </c:numCache>
            </c:numRef>
          </c:xVal>
          <c:yVal>
            <c:numRef>
              <c:f>(Tabelle1!$C$254,Tabelle1!$G$254)</c:f>
              <c:numCache>
                <c:formatCode>General</c:formatCode>
                <c:ptCount val="2"/>
                <c:pt idx="0">
                  <c:v>1</c:v>
                </c:pt>
                <c:pt idx="1">
                  <c:v>0.5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0-61A6-4417-89A7-81A2A3E9D01B}"/>
            </c:ext>
          </c:extLst>
        </c:ser>
        <c:ser>
          <c:idx val="6"/>
          <c:order val="4"/>
          <c:tx>
            <c:v>Vox3Vox4</c:v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(Tabelle1!$D$253,Tabelle1!$E$253)</c:f>
              <c:numCache>
                <c:formatCode>General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xVal>
          <c:yVal>
            <c:numRef>
              <c:f>(Tabelle1!$D$254,Tabelle1!$E$254)</c:f>
              <c:numCache>
                <c:formatCode>General</c:formatCode>
                <c:ptCount val="2"/>
                <c:pt idx="0">
                  <c:v>-1</c:v>
                </c:pt>
                <c:pt idx="1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1-61A6-4417-89A7-81A2A3E9D01B}"/>
            </c:ext>
          </c:extLst>
        </c:ser>
        <c:ser>
          <c:idx val="7"/>
          <c:order val="5"/>
          <c:tx>
            <c:v>Vox3Vox5</c:v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2">
                    <a:lumMod val="60000"/>
                  </a:schemeClr>
                </a:solidFill>
                <a:ln w="9525">
                  <a:solidFill>
                    <a:schemeClr val="accent2">
                      <a:lumMod val="6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B818-4C1C-801A-EA831029929A}"/>
              </c:ext>
            </c:extLst>
          </c:dPt>
          <c:xVal>
            <c:numRef>
              <c:f>(Tabelle1!$D$253,Tabelle1!$H$253)</c:f>
              <c:numCache>
                <c:formatCode>General</c:formatCode>
                <c:ptCount val="2"/>
                <c:pt idx="0">
                  <c:v>1</c:v>
                </c:pt>
                <c:pt idx="1">
                  <c:v>0.5</c:v>
                </c:pt>
              </c:numCache>
            </c:numRef>
          </c:xVal>
          <c:yVal>
            <c:numRef>
              <c:f>(Tabelle1!$D$254,Tabelle1!$H$254)</c:f>
              <c:numCache>
                <c:formatCode>General</c:formatCode>
                <c:ptCount val="2"/>
                <c:pt idx="0">
                  <c:v>-1</c:v>
                </c:pt>
                <c:pt idx="1">
                  <c:v>-0.5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2-61A6-4417-89A7-81A2A3E9D01B}"/>
            </c:ext>
          </c:extLst>
        </c:ser>
        <c:ser>
          <c:idx val="8"/>
          <c:order val="6"/>
          <c:tx>
            <c:v>Vox4Vox8</c:v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3">
                    <a:lumMod val="60000"/>
                  </a:schemeClr>
                </a:solidFill>
                <a:ln w="9525">
                  <a:solidFill>
                    <a:schemeClr val="accent3">
                      <a:lumMod val="6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16B8-4E87-8426-AD7158350975}"/>
              </c:ext>
            </c:extLst>
          </c:dPt>
          <c:xVal>
            <c:numRef>
              <c:f>(Tabelle1!$E$253,Tabelle1!$I$253)</c:f>
              <c:numCache>
                <c:formatCode>General</c:formatCode>
                <c:ptCount val="2"/>
                <c:pt idx="0">
                  <c:v>1</c:v>
                </c:pt>
                <c:pt idx="1">
                  <c:v>0.5</c:v>
                </c:pt>
              </c:numCache>
            </c:numRef>
          </c:xVal>
          <c:yVal>
            <c:numRef>
              <c:f>(Tabelle1!$E$254,Tabelle1!$I$254)</c:f>
              <c:numCache>
                <c:formatCode>General</c:formatCode>
                <c:ptCount val="2"/>
                <c:pt idx="0">
                  <c:v>1</c:v>
                </c:pt>
                <c:pt idx="1">
                  <c:v>0.5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3-61A6-4417-89A7-81A2A3E9D01B}"/>
            </c:ext>
          </c:extLst>
        </c:ser>
        <c:ser>
          <c:idx val="9"/>
          <c:order val="7"/>
          <c:tx>
            <c:v>Vox5Vox6</c:v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(Tabelle1!$F$253,Tabelle1!$G$253)</c:f>
              <c:numCache>
                <c:formatCode>General</c:formatCode>
                <c:ptCount val="2"/>
                <c:pt idx="0">
                  <c:v>-0.5</c:v>
                </c:pt>
                <c:pt idx="1">
                  <c:v>-0.5</c:v>
                </c:pt>
              </c:numCache>
            </c:numRef>
          </c:xVal>
          <c:yVal>
            <c:numRef>
              <c:f>(Tabelle1!$F$254,Tabelle1!$G$254)</c:f>
              <c:numCache>
                <c:formatCode>General</c:formatCode>
                <c:ptCount val="2"/>
                <c:pt idx="0">
                  <c:v>-0.5</c:v>
                </c:pt>
                <c:pt idx="1">
                  <c:v>0.5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4-61A6-4417-89A7-81A2A3E9D01B}"/>
            </c:ext>
          </c:extLst>
        </c:ser>
        <c:ser>
          <c:idx val="10"/>
          <c:order val="8"/>
          <c:tx>
            <c:v>Vox5Vox7</c:v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(Tabelle1!$F$253,Tabelle1!$H$253)</c:f>
              <c:numCache>
                <c:formatCode>General</c:formatCode>
                <c:ptCount val="2"/>
                <c:pt idx="0">
                  <c:v>-0.5</c:v>
                </c:pt>
                <c:pt idx="1">
                  <c:v>0.5</c:v>
                </c:pt>
              </c:numCache>
            </c:numRef>
          </c:xVal>
          <c:yVal>
            <c:numRef>
              <c:f>(Tabelle1!$F$254,Tabelle1!$H$254)</c:f>
              <c:numCache>
                <c:formatCode>General</c:formatCode>
                <c:ptCount val="2"/>
                <c:pt idx="0">
                  <c:v>-0.5</c:v>
                </c:pt>
                <c:pt idx="1">
                  <c:v>-0.5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5-61A6-4417-89A7-81A2A3E9D01B}"/>
            </c:ext>
          </c:extLst>
        </c:ser>
        <c:ser>
          <c:idx val="11"/>
          <c:order val="9"/>
          <c:tx>
            <c:v>Vox6Vox8</c:v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(Tabelle1!$G$253,Tabelle1!$I$253)</c:f>
              <c:numCache>
                <c:formatCode>General</c:formatCode>
                <c:ptCount val="2"/>
                <c:pt idx="0">
                  <c:v>-0.5</c:v>
                </c:pt>
                <c:pt idx="1">
                  <c:v>0.5</c:v>
                </c:pt>
              </c:numCache>
            </c:numRef>
          </c:xVal>
          <c:yVal>
            <c:numRef>
              <c:f>(Tabelle1!$G$254,Tabelle1!$I$254)</c:f>
              <c:numCache>
                <c:formatCode>General</c:formatCode>
                <c:ptCount val="2"/>
                <c:pt idx="0">
                  <c:v>0.5</c:v>
                </c:pt>
                <c:pt idx="1">
                  <c:v>0.5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6-61A6-4417-89A7-81A2A3E9D01B}"/>
            </c:ext>
          </c:extLst>
        </c:ser>
        <c:ser>
          <c:idx val="12"/>
          <c:order val="10"/>
          <c:tx>
            <c:v>Vox7Vox8</c:v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80000"/>
                    <a:lumOff val="20000"/>
                  </a:schemeClr>
                </a:solidFill>
                <a:ln w="9525">
                  <a:solidFill>
                    <a:schemeClr val="accent1">
                      <a:lumMod val="80000"/>
                      <a:lumOff val="2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B818-4C1C-801A-EA831029929A}"/>
              </c:ext>
            </c:extLst>
          </c:dPt>
          <c:xVal>
            <c:numRef>
              <c:f>(Tabelle1!$H$253,Tabelle1!$I$253)</c:f>
              <c:numCache>
                <c:formatCode>General</c:formatCode>
                <c:ptCount val="2"/>
                <c:pt idx="0">
                  <c:v>0.5</c:v>
                </c:pt>
                <c:pt idx="1">
                  <c:v>0.5</c:v>
                </c:pt>
              </c:numCache>
            </c:numRef>
          </c:xVal>
          <c:yVal>
            <c:numRef>
              <c:f>(Tabelle1!$H$254,Tabelle1!$I$254)</c:f>
              <c:numCache>
                <c:formatCode>General</c:formatCode>
                <c:ptCount val="2"/>
                <c:pt idx="0">
                  <c:v>-0.5</c:v>
                </c:pt>
                <c:pt idx="1">
                  <c:v>0.5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7-61A6-4417-89A7-81A2A3E9D01B}"/>
            </c:ext>
          </c:extLst>
        </c:ser>
        <c:ser>
          <c:idx val="2"/>
          <c:order val="11"/>
          <c:tx>
            <c:v>Vox1Vox5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(Tabelle1!$B$253,Tabelle1!$F$253)</c:f>
              <c:numCache>
                <c:formatCode>General</c:formatCode>
                <c:ptCount val="2"/>
                <c:pt idx="0">
                  <c:v>-1</c:v>
                </c:pt>
                <c:pt idx="1">
                  <c:v>-0.5</c:v>
                </c:pt>
              </c:numCache>
            </c:numRef>
          </c:xVal>
          <c:yVal>
            <c:numRef>
              <c:f>(Tabelle1!$B$254,Tabelle1!$F$254)</c:f>
              <c:numCache>
                <c:formatCode>General</c:formatCode>
                <c:ptCount val="2"/>
                <c:pt idx="0">
                  <c:v>-1</c:v>
                </c:pt>
                <c:pt idx="1">
                  <c:v>-0.5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8-61A6-4417-89A7-81A2A3E9D01B}"/>
            </c:ext>
          </c:extLst>
        </c:ser>
        <c:ser>
          <c:idx val="3"/>
          <c:order val="12"/>
          <c:tx>
            <c:v>Vox9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Tabelle1!$J$253</c:f>
              <c:numCache>
                <c:formatCode>General</c:formatCode>
                <c:ptCount val="1"/>
                <c:pt idx="0">
                  <c:v>0</c:v>
                </c:pt>
              </c:numCache>
            </c:numRef>
          </c:xVal>
          <c:yVal>
            <c:numRef>
              <c:f>Tabelle1!$J$254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B818-4C1C-801A-EA83102992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81168880"/>
        <c:axId val="1981166480"/>
      </c:scatterChart>
      <c:valAx>
        <c:axId val="1981168880"/>
        <c:scaling>
          <c:orientation val="minMax"/>
          <c:max val="2"/>
          <c:min val="-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981166480"/>
        <c:crosses val="autoZero"/>
        <c:crossBetween val="midCat"/>
      </c:valAx>
      <c:valAx>
        <c:axId val="1981166480"/>
        <c:scaling>
          <c:orientation val="minMax"/>
          <c:max val="2"/>
          <c:min val="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9811688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>
        <c:manualLayout>
          <c:layoutTarget val="inner"/>
          <c:xMode val="edge"/>
          <c:yMode val="edge"/>
          <c:x val="0.10335744221302881"/>
          <c:y val="6.709499854184893E-2"/>
          <c:w val="0.83249140111628939"/>
          <c:h val="0.88847222222222222"/>
        </c:manualLayout>
      </c:layout>
      <c:scatterChart>
        <c:scatterStyle val="lineMarker"/>
        <c:varyColors val="0"/>
        <c:ser>
          <c:idx val="11"/>
          <c:order val="11"/>
          <c:tx>
            <c:v>R0</c:v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Tabelle1!$A$308:$M$308</c:f>
              <c:numCache>
                <c:formatCode>General</c:formatCode>
                <c:ptCount val="13"/>
                <c:pt idx="0">
                  <c:v>0</c:v>
                </c:pt>
                <c:pt idx="1">
                  <c:v>0.49999999999999994</c:v>
                </c:pt>
                <c:pt idx="2">
                  <c:v>0.8660254037844386</c:v>
                </c:pt>
                <c:pt idx="3">
                  <c:v>1</c:v>
                </c:pt>
                <c:pt idx="4">
                  <c:v>0.86602540378443871</c:v>
                </c:pt>
                <c:pt idx="5">
                  <c:v>0.49999999999999994</c:v>
                </c:pt>
                <c:pt idx="6">
                  <c:v>1.22514845490862E-16</c:v>
                </c:pt>
                <c:pt idx="7">
                  <c:v>-0.50000000000000011</c:v>
                </c:pt>
                <c:pt idx="8">
                  <c:v>-0.86602540378443837</c:v>
                </c:pt>
                <c:pt idx="9">
                  <c:v>-1</c:v>
                </c:pt>
                <c:pt idx="10">
                  <c:v>-0.8660254037844386</c:v>
                </c:pt>
                <c:pt idx="11">
                  <c:v>-0.50000000000000044</c:v>
                </c:pt>
                <c:pt idx="12">
                  <c:v>-2.45029690981724E-16</c:v>
                </c:pt>
              </c:numCache>
            </c:numRef>
          </c:xVal>
          <c:yVal>
            <c:numRef>
              <c:f>Tabelle1!$A$309:$M$309</c:f>
              <c:numCache>
                <c:formatCode>General</c:formatCode>
                <c:ptCount val="13"/>
                <c:pt idx="0">
                  <c:v>1</c:v>
                </c:pt>
                <c:pt idx="1">
                  <c:v>0.86602540378443871</c:v>
                </c:pt>
                <c:pt idx="2">
                  <c:v>0.50000000000000011</c:v>
                </c:pt>
                <c:pt idx="3">
                  <c:v>6.1257422745431001E-17</c:v>
                </c:pt>
                <c:pt idx="4">
                  <c:v>-0.49999999999999978</c:v>
                </c:pt>
                <c:pt idx="5">
                  <c:v>-0.86602540378443871</c:v>
                </c:pt>
                <c:pt idx="6">
                  <c:v>-1</c:v>
                </c:pt>
                <c:pt idx="7">
                  <c:v>-0.8660254037844386</c:v>
                </c:pt>
                <c:pt idx="8">
                  <c:v>-0.50000000000000044</c:v>
                </c:pt>
                <c:pt idx="9">
                  <c:v>-1.83772268236293E-16</c:v>
                </c:pt>
                <c:pt idx="10">
                  <c:v>0.50000000000000011</c:v>
                </c:pt>
                <c:pt idx="11">
                  <c:v>0.86602540378443837</c:v>
                </c:pt>
                <c:pt idx="12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5D4-4B05-A6A6-7B39373D7C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8795583"/>
        <c:axId val="928789343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v>R1R2</c:v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dPt>
                  <c:idx val="1"/>
                  <c:marker>
                    <c:symbol val="circle"/>
                    <c:size val="5"/>
                    <c:spPr>
                      <a:solidFill>
                        <a:schemeClr val="accent1"/>
                      </a:solidFill>
                      <a:ln w="9525">
                        <a:solidFill>
                          <a:schemeClr val="accent1"/>
                        </a:solidFill>
                      </a:ln>
                      <a:effectLst/>
                    </c:spPr>
                  </c:marker>
                  <c:bubble3D val="0"/>
                  <c:spPr>
                    <a:ln w="19050" cap="rnd">
                      <a:solidFill>
                        <a:schemeClr val="accent1"/>
                      </a:solidFill>
                      <a:round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1-6CF3-4E7A-A8AC-B3E3DA95AE3F}"/>
                    </c:ext>
                  </c:extLst>
                </c:dPt>
                <c:xVal>
                  <c:numRef>
                    <c:extLst>
                      <c:ext uri="{02D57815-91ED-43cb-92C2-25804820EDAC}">
                        <c15:formulaRef>
                          <c15:sqref>(Tabelle1!$A$308,Tabelle1!$B$308)</c15:sqref>
                        </c15:formulaRef>
                      </c:ext>
                    </c:extLst>
                    <c:numCache>
                      <c:formatCode>General</c:formatCode>
                      <c:ptCount val="2"/>
                      <c:pt idx="0">
                        <c:v>0</c:v>
                      </c:pt>
                      <c:pt idx="1">
                        <c:v>0.49999999999999994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Tabelle1!$A$309:$B$309</c15:sqref>
                        </c15:formulaRef>
                      </c:ext>
                    </c:extLst>
                    <c:numCache>
                      <c:formatCode>General</c:formatCode>
                      <c:ptCount val="2"/>
                      <c:pt idx="0">
                        <c:v>1</c:v>
                      </c:pt>
                      <c:pt idx="1">
                        <c:v>0.86602540378443871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4-B2D7-43BF-923B-026FB0740C30}"/>
                  </c:ext>
                </c:extLst>
              </c15:ser>
            </c15:filteredScatterSeries>
            <c15:filteredScatterSeries>
              <c15:ser>
                <c:idx val="1"/>
                <c:order val="1"/>
                <c:tx>
                  <c:v>R2R3</c:v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(Tabelle1!$B$308,Tabelle1!$C$308)</c15:sqref>
                        </c15:formulaRef>
                      </c:ext>
                    </c:extLst>
                    <c:numCache>
                      <c:formatCode>General</c:formatCode>
                      <c:ptCount val="2"/>
                      <c:pt idx="0">
                        <c:v>0.49999999999999994</c:v>
                      </c:pt>
                      <c:pt idx="1">
                        <c:v>0.8660254037844386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(Tabelle1!$B$309,Tabelle1!$C$309)</c15:sqref>
                        </c15:formulaRef>
                      </c:ext>
                    </c:extLst>
                    <c:numCache>
                      <c:formatCode>General</c:formatCode>
                      <c:ptCount val="2"/>
                      <c:pt idx="0">
                        <c:v>0.86602540378443871</c:v>
                      </c:pt>
                      <c:pt idx="1">
                        <c:v>0.50000000000000011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B2D7-43BF-923B-026FB0740C30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v>R3R4</c:v>
                </c:tx>
                <c:spPr>
                  <a:ln w="1905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Tabelle1!$C$308:$D$308</c15:sqref>
                        </c15:formulaRef>
                      </c:ext>
                    </c:extLst>
                    <c:numCache>
                      <c:formatCode>General</c:formatCode>
                      <c:ptCount val="2"/>
                      <c:pt idx="0">
                        <c:v>0.8660254037844386</c:v>
                      </c:pt>
                      <c:pt idx="1">
                        <c:v>1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Tabelle1!$C$309:$D$309</c15:sqref>
                        </c15:formulaRef>
                      </c:ext>
                    </c:extLst>
                    <c:numCache>
                      <c:formatCode>General</c:formatCode>
                      <c:ptCount val="2"/>
                      <c:pt idx="0">
                        <c:v>0.50000000000000011</c:v>
                      </c:pt>
                      <c:pt idx="1">
                        <c:v>6.1257422745431001E-17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B2D7-43BF-923B-026FB0740C30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v>R4R5</c:v>
                </c:tx>
                <c:spPr>
                  <a:ln w="19050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Tabelle1!$D$308:$E$308</c15:sqref>
                        </c15:formulaRef>
                      </c:ext>
                    </c:extLst>
                    <c:numCache>
                      <c:formatCode>General</c:formatCode>
                      <c:ptCount val="2"/>
                      <c:pt idx="0">
                        <c:v>1</c:v>
                      </c:pt>
                      <c:pt idx="1">
                        <c:v>0.86602540378443871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Tabelle1!$D$309:$E$309</c15:sqref>
                        </c15:formulaRef>
                      </c:ext>
                    </c:extLst>
                    <c:numCache>
                      <c:formatCode>General</c:formatCode>
                      <c:ptCount val="2"/>
                      <c:pt idx="0">
                        <c:v>6.1257422745431001E-17</c:v>
                      </c:pt>
                      <c:pt idx="1">
                        <c:v>-0.49999999999999978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B2D7-43BF-923B-026FB0740C30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v>R5R6</c:v>
                </c:tx>
                <c:spPr>
                  <a:ln w="19050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Tabelle1!$E$308:$F$308</c15:sqref>
                        </c15:formulaRef>
                      </c:ext>
                    </c:extLst>
                    <c:numCache>
                      <c:formatCode>General</c:formatCode>
                      <c:ptCount val="2"/>
                      <c:pt idx="0">
                        <c:v>0.86602540378443871</c:v>
                      </c:pt>
                      <c:pt idx="1">
                        <c:v>0.49999999999999994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Tabelle1!$E$309:$F$309</c15:sqref>
                        </c15:formulaRef>
                      </c:ext>
                    </c:extLst>
                    <c:numCache>
                      <c:formatCode>General</c:formatCode>
                      <c:ptCount val="2"/>
                      <c:pt idx="0">
                        <c:v>-0.49999999999999978</c:v>
                      </c:pt>
                      <c:pt idx="1">
                        <c:v>-0.86602540378443871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B2D7-43BF-923B-026FB0740C30}"/>
                  </c:ext>
                </c:extLst>
              </c15:ser>
            </c15:filteredScatterSeries>
            <c15:filteredScatterSeries>
              <c15:ser>
                <c:idx val="5"/>
                <c:order val="5"/>
                <c:tx>
                  <c:v>R6R7</c:v>
                </c:tx>
                <c:spPr>
                  <a:ln w="19050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Tabelle1!$F$308:$G$308</c15:sqref>
                        </c15:formulaRef>
                      </c:ext>
                    </c:extLst>
                    <c:numCache>
                      <c:formatCode>General</c:formatCode>
                      <c:ptCount val="2"/>
                      <c:pt idx="0">
                        <c:v>0.49999999999999994</c:v>
                      </c:pt>
                      <c:pt idx="1">
                        <c:v>1.22514845490862E-16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Tabelle1!$F$309:$G$309</c15:sqref>
                        </c15:formulaRef>
                      </c:ext>
                    </c:extLst>
                    <c:numCache>
                      <c:formatCode>General</c:formatCode>
                      <c:ptCount val="2"/>
                      <c:pt idx="0">
                        <c:v>-0.86602540378443871</c:v>
                      </c:pt>
                      <c:pt idx="1">
                        <c:v>-1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B2D7-43BF-923B-026FB0740C30}"/>
                  </c:ext>
                </c:extLst>
              </c15:ser>
            </c15:filteredScatterSeries>
            <c15:filteredScatterSeries>
              <c15:ser>
                <c:idx val="6"/>
                <c:order val="6"/>
                <c:tx>
                  <c:v>R7R8</c:v>
                </c:tx>
                <c:spPr>
                  <a:ln w="19050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>
                        <a:lumMod val="60000"/>
                      </a:schemeClr>
                    </a:solidFill>
                    <a:ln w="9525">
                      <a:solidFill>
                        <a:schemeClr val="accent1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Tabelle1!$G$308:$H$308</c15:sqref>
                        </c15:formulaRef>
                      </c:ext>
                    </c:extLst>
                    <c:numCache>
                      <c:formatCode>General</c:formatCode>
                      <c:ptCount val="2"/>
                      <c:pt idx="0">
                        <c:v>1.22514845490862E-16</c:v>
                      </c:pt>
                      <c:pt idx="1">
                        <c:v>-0.50000000000000011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Tabelle1!$G$309:$H$309</c15:sqref>
                        </c15:formulaRef>
                      </c:ext>
                    </c:extLst>
                    <c:numCache>
                      <c:formatCode>General</c:formatCode>
                      <c:ptCount val="2"/>
                      <c:pt idx="0">
                        <c:v>-1</c:v>
                      </c:pt>
                      <c:pt idx="1">
                        <c:v>-0.8660254037844386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E-B2D7-43BF-923B-026FB0740C30}"/>
                  </c:ext>
                </c:extLst>
              </c15:ser>
            </c15:filteredScatterSeries>
            <c15:filteredScatterSeries>
              <c15:ser>
                <c:idx val="7"/>
                <c:order val="7"/>
                <c:tx>
                  <c:v>R8R9</c:v>
                </c:tx>
                <c:spPr>
                  <a:ln w="19050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>
                        <a:lumMod val="60000"/>
                      </a:schemeClr>
                    </a:solidFill>
                    <a:ln w="9525">
                      <a:solidFill>
                        <a:schemeClr val="accent2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Tabelle1!$H$308:$I$308</c15:sqref>
                        </c15:formulaRef>
                      </c:ext>
                    </c:extLst>
                    <c:numCache>
                      <c:formatCode>General</c:formatCode>
                      <c:ptCount val="2"/>
                      <c:pt idx="0">
                        <c:v>-0.50000000000000011</c:v>
                      </c:pt>
                      <c:pt idx="1">
                        <c:v>-0.86602540378443837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Tabelle1!$H$309:$I$309</c15:sqref>
                        </c15:formulaRef>
                      </c:ext>
                    </c:extLst>
                    <c:numCache>
                      <c:formatCode>General</c:formatCode>
                      <c:ptCount val="2"/>
                      <c:pt idx="0">
                        <c:v>-0.8660254037844386</c:v>
                      </c:pt>
                      <c:pt idx="1">
                        <c:v>-0.50000000000000044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F-B2D7-43BF-923B-026FB0740C30}"/>
                  </c:ext>
                </c:extLst>
              </c15:ser>
            </c15:filteredScatterSeries>
            <c15:filteredScatterSeries>
              <c15:ser>
                <c:idx val="8"/>
                <c:order val="8"/>
                <c:tx>
                  <c:v>R9R10</c:v>
                </c:tx>
                <c:spPr>
                  <a:ln w="19050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>
                        <a:lumMod val="60000"/>
                      </a:schemeClr>
                    </a:solidFill>
                    <a:ln w="9525">
                      <a:solidFill>
                        <a:schemeClr val="accent3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Tabelle1!$I$308:$J$308</c15:sqref>
                        </c15:formulaRef>
                      </c:ext>
                    </c:extLst>
                    <c:numCache>
                      <c:formatCode>General</c:formatCode>
                      <c:ptCount val="2"/>
                      <c:pt idx="0">
                        <c:v>-0.86602540378443837</c:v>
                      </c:pt>
                      <c:pt idx="1">
                        <c:v>-1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Tabelle1!$I$309:$J$309</c15:sqref>
                        </c15:formulaRef>
                      </c:ext>
                    </c:extLst>
                    <c:numCache>
                      <c:formatCode>General</c:formatCode>
                      <c:ptCount val="2"/>
                      <c:pt idx="0">
                        <c:v>-0.50000000000000044</c:v>
                      </c:pt>
                      <c:pt idx="1">
                        <c:v>-1.83772268236293E-16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0-B2D7-43BF-923B-026FB0740C30}"/>
                  </c:ext>
                </c:extLst>
              </c15:ser>
            </c15:filteredScatterSeries>
            <c15:filteredScatterSeries>
              <c15:ser>
                <c:idx val="9"/>
                <c:order val="9"/>
                <c:tx>
                  <c:v>R10R11</c:v>
                </c:tx>
                <c:spPr>
                  <a:ln w="19050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>
                        <a:lumMod val="60000"/>
                      </a:schemeClr>
                    </a:solidFill>
                    <a:ln w="9525">
                      <a:solidFill>
                        <a:schemeClr val="accent4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Tabelle1!$J$308:$K$308</c15:sqref>
                        </c15:formulaRef>
                      </c:ext>
                    </c:extLst>
                    <c:numCache>
                      <c:formatCode>General</c:formatCode>
                      <c:ptCount val="2"/>
                      <c:pt idx="0">
                        <c:v>-1</c:v>
                      </c:pt>
                      <c:pt idx="1">
                        <c:v>-0.8660254037844386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Tabelle1!$J$309:$K$309</c15:sqref>
                        </c15:formulaRef>
                      </c:ext>
                    </c:extLst>
                    <c:numCache>
                      <c:formatCode>General</c:formatCode>
                      <c:ptCount val="2"/>
                      <c:pt idx="0">
                        <c:v>-1.83772268236293E-16</c:v>
                      </c:pt>
                      <c:pt idx="1">
                        <c:v>0.50000000000000011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1-B2D7-43BF-923B-026FB0740C30}"/>
                  </c:ext>
                </c:extLst>
              </c15:ser>
            </c15:filteredScatterSeries>
            <c15:filteredScatterSeries>
              <c15:ser>
                <c:idx val="10"/>
                <c:order val="10"/>
                <c:tx>
                  <c:v>R11R12</c:v>
                </c:tx>
                <c:spPr>
                  <a:ln w="19050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>
                        <a:lumMod val="60000"/>
                      </a:schemeClr>
                    </a:solidFill>
                    <a:ln w="9525">
                      <a:solidFill>
                        <a:schemeClr val="accent5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Tabelle1!$K$308:$L$308</c15:sqref>
                        </c15:formulaRef>
                      </c:ext>
                    </c:extLst>
                    <c:numCache>
                      <c:formatCode>General</c:formatCode>
                      <c:ptCount val="2"/>
                      <c:pt idx="0">
                        <c:v>-0.8660254037844386</c:v>
                      </c:pt>
                      <c:pt idx="1">
                        <c:v>-0.50000000000000044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Tabelle1!$K$309:$L$309</c15:sqref>
                        </c15:formulaRef>
                      </c:ext>
                    </c:extLst>
                    <c:numCache>
                      <c:formatCode>General</c:formatCode>
                      <c:ptCount val="2"/>
                      <c:pt idx="0">
                        <c:v>0.50000000000000011</c:v>
                      </c:pt>
                      <c:pt idx="1">
                        <c:v>0.86602540378443837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2-B2D7-43BF-923B-026FB0740C30}"/>
                  </c:ext>
                </c:extLst>
              </c15:ser>
            </c15:filteredScatterSeries>
          </c:ext>
        </c:extLst>
      </c:scatterChart>
      <c:valAx>
        <c:axId val="928795583"/>
        <c:scaling>
          <c:orientation val="minMax"/>
          <c:max val="1.5"/>
          <c:min val="-1.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928789343"/>
        <c:crosses val="autoZero"/>
        <c:crossBetween val="midCat"/>
      </c:valAx>
      <c:valAx>
        <c:axId val="928789343"/>
        <c:scaling>
          <c:orientation val="minMax"/>
          <c:max val="1.5"/>
          <c:min val="-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9287955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9.5326649868864924E-2"/>
          <c:y val="4.95688801928683E-2"/>
          <c:w val="0.80635609116115881"/>
          <c:h val="0.89424645717036211"/>
        </c:manualLayout>
      </c:layout>
      <c:scatterChart>
        <c:scatterStyle val="lineMarker"/>
        <c:varyColors val="0"/>
        <c:ser>
          <c:idx val="0"/>
          <c:order val="0"/>
          <c:tx>
            <c:v>Vox1Vox2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Tabelle1!$B$354:$C$354</c:f>
              <c:numCache>
                <c:formatCode>General</c:formatCode>
                <c:ptCount val="2"/>
                <c:pt idx="0">
                  <c:v>-1</c:v>
                </c:pt>
                <c:pt idx="1">
                  <c:v>1</c:v>
                </c:pt>
              </c:numCache>
            </c:numRef>
          </c:xVal>
          <c:yVal>
            <c:numRef>
              <c:f>Tabelle1!$B$355:$C$355</c:f>
              <c:numCache>
                <c:formatCode>General</c:formatCode>
                <c:ptCount val="2"/>
                <c:pt idx="0">
                  <c:v>-1</c:v>
                </c:pt>
                <c:pt idx="1">
                  <c:v>-1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2A0-433A-B5A9-CC793EB10004}"/>
            </c:ext>
          </c:extLst>
        </c:ser>
        <c:ser>
          <c:idx val="1"/>
          <c:order val="1"/>
          <c:tx>
            <c:v>Vox1Vox3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(Tabelle1!$B$354,Tabelle1!$D$354)</c:f>
              <c:numCache>
                <c:formatCode>General</c:formatCode>
                <c:ptCount val="2"/>
                <c:pt idx="0">
                  <c:v>-1</c:v>
                </c:pt>
                <c:pt idx="1">
                  <c:v>-1</c:v>
                </c:pt>
              </c:numCache>
            </c:numRef>
          </c:xVal>
          <c:yVal>
            <c:numRef>
              <c:f>(Tabelle1!$B$355,Tabelle1!$D$355)</c:f>
              <c:numCache>
                <c:formatCode>General</c:formatCode>
                <c:ptCount val="2"/>
                <c:pt idx="0">
                  <c:v>-1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2A0-433A-B5A9-CC793EB10004}"/>
            </c:ext>
          </c:extLst>
        </c:ser>
        <c:ser>
          <c:idx val="2"/>
          <c:order val="2"/>
          <c:tx>
            <c:v>Vox1Vox5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3"/>
                </a:solidFill>
                <a:ln w="9525">
                  <a:solidFill>
                    <a:schemeClr val="accent3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178A-4C0D-99B5-769A131A77F6}"/>
              </c:ext>
            </c:extLst>
          </c:dPt>
          <c:xVal>
            <c:numRef>
              <c:f>(Tabelle1!$B$354,Tabelle1!$F$354)</c:f>
              <c:numCache>
                <c:formatCode>General</c:formatCode>
                <c:ptCount val="2"/>
                <c:pt idx="0">
                  <c:v>-1</c:v>
                </c:pt>
                <c:pt idx="1">
                  <c:v>-0.33333333333333331</c:v>
                </c:pt>
              </c:numCache>
            </c:numRef>
          </c:xVal>
          <c:yVal>
            <c:numRef>
              <c:f>(Tabelle1!$B$355,Tabelle1!$F$355)</c:f>
              <c:numCache>
                <c:formatCode>General</c:formatCode>
                <c:ptCount val="2"/>
                <c:pt idx="0">
                  <c:v>-1</c:v>
                </c:pt>
                <c:pt idx="1">
                  <c:v>-0.33333333333333331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2A0-433A-B5A9-CC793EB10004}"/>
            </c:ext>
          </c:extLst>
        </c:ser>
        <c:ser>
          <c:idx val="3"/>
          <c:order val="3"/>
          <c:tx>
            <c:v>Vox2Vox4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(Tabelle1!$C$354,Tabelle1!$E$354)</c:f>
              <c:numCache>
                <c:formatCode>General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xVal>
          <c:yVal>
            <c:numRef>
              <c:f>(Tabelle1!$C$355,Tabelle1!$E$355)</c:f>
              <c:numCache>
                <c:formatCode>General</c:formatCode>
                <c:ptCount val="2"/>
                <c:pt idx="0">
                  <c:v>-1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22A0-433A-B5A9-CC793EB10004}"/>
            </c:ext>
          </c:extLst>
        </c:ser>
        <c:ser>
          <c:idx val="4"/>
          <c:order val="4"/>
          <c:tx>
            <c:v>Vox2Vox6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(Tabelle1!$C$354,Tabelle1!$G$354)</c:f>
              <c:numCache>
                <c:formatCode>General</c:formatCode>
                <c:ptCount val="2"/>
                <c:pt idx="0">
                  <c:v>1</c:v>
                </c:pt>
                <c:pt idx="1">
                  <c:v>0.33333333333333331</c:v>
                </c:pt>
              </c:numCache>
            </c:numRef>
          </c:xVal>
          <c:yVal>
            <c:numRef>
              <c:f>(Tabelle1!$C$355,Tabelle1!$G$355)</c:f>
              <c:numCache>
                <c:formatCode>General</c:formatCode>
                <c:ptCount val="2"/>
                <c:pt idx="0">
                  <c:v>-1</c:v>
                </c:pt>
                <c:pt idx="1">
                  <c:v>-0.33333333333333331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22A0-433A-B5A9-CC793EB10004}"/>
            </c:ext>
          </c:extLst>
        </c:ser>
        <c:ser>
          <c:idx val="6"/>
          <c:order val="5"/>
          <c:tx>
            <c:v>Vox3Vox4</c:v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60000"/>
                  </a:schemeClr>
                </a:solidFill>
                <a:ln w="9525">
                  <a:solidFill>
                    <a:schemeClr val="accent1">
                      <a:lumMod val="6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6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178A-4C0D-99B5-769A131A77F6}"/>
              </c:ext>
            </c:extLst>
          </c:dPt>
          <c:xVal>
            <c:numRef>
              <c:f>(Tabelle1!$D$354,Tabelle1!$E$354)</c:f>
              <c:numCache>
                <c:formatCode>General</c:formatCode>
                <c:ptCount val="2"/>
                <c:pt idx="0">
                  <c:v>-1</c:v>
                </c:pt>
                <c:pt idx="1">
                  <c:v>1</c:v>
                </c:pt>
              </c:numCache>
            </c:numRef>
          </c:xVal>
          <c:yVal>
            <c:numRef>
              <c:f>(Tabelle1!$D$355,Tabelle1!$E$355)</c:f>
              <c:numCache>
                <c:formatCode>General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22A0-433A-B5A9-CC793EB10004}"/>
            </c:ext>
          </c:extLst>
        </c:ser>
        <c:ser>
          <c:idx val="5"/>
          <c:order val="6"/>
          <c:tx>
            <c:v>Vox3Vox7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(Tabelle1!$D$354,Tabelle1!$H$354)</c:f>
              <c:numCache>
                <c:formatCode>General</c:formatCode>
                <c:ptCount val="2"/>
                <c:pt idx="0">
                  <c:v>-1</c:v>
                </c:pt>
                <c:pt idx="1">
                  <c:v>-0.33333333333333331</c:v>
                </c:pt>
              </c:numCache>
            </c:numRef>
          </c:xVal>
          <c:yVal>
            <c:numRef>
              <c:f>(Tabelle1!$D$355,Tabelle1!$H$355)</c:f>
              <c:numCache>
                <c:formatCode>General</c:formatCode>
                <c:ptCount val="2"/>
                <c:pt idx="0">
                  <c:v>1</c:v>
                </c:pt>
                <c:pt idx="1">
                  <c:v>0.33333333333333331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22A0-433A-B5A9-CC793EB10004}"/>
            </c:ext>
          </c:extLst>
        </c:ser>
        <c:ser>
          <c:idx val="7"/>
          <c:order val="7"/>
          <c:tx>
            <c:v>Vox4Vox8</c:v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(Tabelle1!$E$354,Tabelle1!$I$354)</c:f>
              <c:numCache>
                <c:formatCode>General</c:formatCode>
                <c:ptCount val="2"/>
                <c:pt idx="0">
                  <c:v>1</c:v>
                </c:pt>
                <c:pt idx="1">
                  <c:v>0.33333333333333331</c:v>
                </c:pt>
              </c:numCache>
            </c:numRef>
          </c:xVal>
          <c:yVal>
            <c:numRef>
              <c:f>(Tabelle1!$E$355,Tabelle1!$I$355)</c:f>
              <c:numCache>
                <c:formatCode>General</c:formatCode>
                <c:ptCount val="2"/>
                <c:pt idx="0">
                  <c:v>1</c:v>
                </c:pt>
                <c:pt idx="1">
                  <c:v>0.33333333333333331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22A0-433A-B5A9-CC793EB10004}"/>
            </c:ext>
          </c:extLst>
        </c:ser>
        <c:ser>
          <c:idx val="8"/>
          <c:order val="8"/>
          <c:tx>
            <c:v>Vox5Vox6</c:v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dPt>
            <c:idx val="1"/>
            <c:marker>
              <c:symbol val="circle"/>
              <c:size val="5"/>
              <c:spPr>
                <a:solidFill>
                  <a:schemeClr val="accent3">
                    <a:lumMod val="60000"/>
                  </a:schemeClr>
                </a:solidFill>
                <a:ln w="9525">
                  <a:solidFill>
                    <a:schemeClr val="accent3">
                      <a:lumMod val="6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3">
                    <a:lumMod val="6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4-178A-4C0D-99B5-769A131A77F6}"/>
              </c:ext>
            </c:extLst>
          </c:dPt>
          <c:xVal>
            <c:numRef>
              <c:f>(Tabelle1!$F$354,Tabelle1!$G$354)</c:f>
              <c:numCache>
                <c:formatCode>General</c:formatCode>
                <c:ptCount val="2"/>
                <c:pt idx="0">
                  <c:v>-0.33333333333333331</c:v>
                </c:pt>
                <c:pt idx="1">
                  <c:v>0.33333333333333331</c:v>
                </c:pt>
              </c:numCache>
            </c:numRef>
          </c:xVal>
          <c:yVal>
            <c:numRef>
              <c:f>(Tabelle1!$F$355,Tabelle1!$G$355)</c:f>
              <c:numCache>
                <c:formatCode>General</c:formatCode>
                <c:ptCount val="2"/>
                <c:pt idx="0">
                  <c:v>-0.33333333333333331</c:v>
                </c:pt>
                <c:pt idx="1">
                  <c:v>-0.33333333333333331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22A0-433A-B5A9-CC793EB10004}"/>
            </c:ext>
          </c:extLst>
        </c:ser>
        <c:ser>
          <c:idx val="9"/>
          <c:order val="9"/>
          <c:tx>
            <c:v>Vox5Vox7</c:v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(Tabelle1!$F$354,Tabelle1!$H$354)</c:f>
              <c:numCache>
                <c:formatCode>General</c:formatCode>
                <c:ptCount val="2"/>
                <c:pt idx="0">
                  <c:v>-0.33333333333333331</c:v>
                </c:pt>
                <c:pt idx="1">
                  <c:v>-0.33333333333333331</c:v>
                </c:pt>
              </c:numCache>
            </c:numRef>
          </c:xVal>
          <c:yVal>
            <c:numRef>
              <c:f>(Tabelle1!$F$355,Tabelle1!$H$355)</c:f>
              <c:numCache>
                <c:formatCode>General</c:formatCode>
                <c:ptCount val="2"/>
                <c:pt idx="0">
                  <c:v>-0.33333333333333331</c:v>
                </c:pt>
                <c:pt idx="1">
                  <c:v>0.33333333333333331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22A0-433A-B5A9-CC793EB10004}"/>
            </c:ext>
          </c:extLst>
        </c:ser>
        <c:ser>
          <c:idx val="10"/>
          <c:order val="10"/>
          <c:tx>
            <c:v>Vox6Vox8</c:v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(Tabelle1!$G$354,Tabelle1!$I$354)</c:f>
              <c:numCache>
                <c:formatCode>General</c:formatCode>
                <c:ptCount val="2"/>
                <c:pt idx="0">
                  <c:v>0.33333333333333331</c:v>
                </c:pt>
                <c:pt idx="1">
                  <c:v>0.33333333333333331</c:v>
                </c:pt>
              </c:numCache>
            </c:numRef>
          </c:xVal>
          <c:yVal>
            <c:numRef>
              <c:f>(Tabelle1!$G$355,Tabelle1!$I$355)</c:f>
              <c:numCache>
                <c:formatCode>General</c:formatCode>
                <c:ptCount val="2"/>
                <c:pt idx="0">
                  <c:v>-0.33333333333333331</c:v>
                </c:pt>
                <c:pt idx="1">
                  <c:v>0.33333333333333331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22A0-433A-B5A9-CC793EB10004}"/>
            </c:ext>
          </c:extLst>
        </c:ser>
        <c:ser>
          <c:idx val="11"/>
          <c:order val="11"/>
          <c:tx>
            <c:v>Vox7Vox8</c:v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(Tabelle1!$H$354,Tabelle1!$I$354)</c:f>
              <c:numCache>
                <c:formatCode>General</c:formatCode>
                <c:ptCount val="2"/>
                <c:pt idx="0">
                  <c:v>-0.33333333333333331</c:v>
                </c:pt>
                <c:pt idx="1">
                  <c:v>0.33333333333333331</c:v>
                </c:pt>
              </c:numCache>
            </c:numRef>
          </c:xVal>
          <c:yVal>
            <c:numRef>
              <c:f>(Tabelle1!$H$355,Tabelle1!$I$355)</c:f>
              <c:numCache>
                <c:formatCode>General</c:formatCode>
                <c:ptCount val="2"/>
                <c:pt idx="0">
                  <c:v>0.33333333333333331</c:v>
                </c:pt>
                <c:pt idx="1">
                  <c:v>0.33333333333333331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22A0-433A-B5A9-CC793EB100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15042175"/>
        <c:axId val="915042655"/>
      </c:scatterChart>
      <c:valAx>
        <c:axId val="915042175"/>
        <c:scaling>
          <c:orientation val="minMax"/>
          <c:max val="5.6"/>
          <c:min val="-5.6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915042655"/>
        <c:crosses val="autoZero"/>
        <c:crossBetween val="midCat"/>
      </c:valAx>
      <c:valAx>
        <c:axId val="915042655"/>
        <c:scaling>
          <c:orientation val="minMax"/>
          <c:max val="2"/>
          <c:min val="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9150421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8027285560214335E-2"/>
          <c:y val="4.1666666666666664E-2"/>
          <c:w val="0.88940985041336673"/>
          <c:h val="0.89814814814814814"/>
        </c:manualLayout>
      </c:layout>
      <c:scatterChart>
        <c:scatterStyle val="lineMarker"/>
        <c:varyColors val="0"/>
        <c:ser>
          <c:idx val="0"/>
          <c:order val="0"/>
          <c:tx>
            <c:v>Vox1Vox2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(Tabelle1!$B$124,Tabelle1!$C$124)</c:f>
              <c:numCache>
                <c:formatCode>General</c:formatCode>
                <c:ptCount val="2"/>
                <c:pt idx="0">
                  <c:v>8.7191227050784331E-2</c:v>
                </c:pt>
                <c:pt idx="1">
                  <c:v>9.1285200930496857E-2</c:v>
                </c:pt>
              </c:numCache>
            </c:numRef>
          </c:xVal>
          <c:yVal>
            <c:numRef>
              <c:f>(Tabelle1!$B$125,Tabelle1!$C$125)</c:f>
              <c:numCache>
                <c:formatCode>General</c:formatCode>
                <c:ptCount val="2"/>
                <c:pt idx="0">
                  <c:v>8.7191227050784331E-2</c:v>
                </c:pt>
                <c:pt idx="1">
                  <c:v>-8.7191227050784331E-2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BD4D-41E2-A30D-2980F19D969F}"/>
            </c:ext>
          </c:extLst>
        </c:ser>
        <c:ser>
          <c:idx val="1"/>
          <c:order val="1"/>
          <c:tx>
            <c:v>Vox1Vox3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(Tabelle1!$B$124,Tabelle1!$D$124)</c:f>
              <c:numCache>
                <c:formatCode>General</c:formatCode>
                <c:ptCount val="2"/>
                <c:pt idx="0">
                  <c:v>8.7191227050784331E-2</c:v>
                </c:pt>
                <c:pt idx="1">
                  <c:v>-9.1285200930496857E-2</c:v>
                </c:pt>
              </c:numCache>
            </c:numRef>
          </c:xVal>
          <c:yVal>
            <c:numRef>
              <c:f>(Tabelle1!$B$125,Tabelle1!$D$125)</c:f>
              <c:numCache>
                <c:formatCode>General</c:formatCode>
                <c:ptCount val="2"/>
                <c:pt idx="0">
                  <c:v>8.7191227050784331E-2</c:v>
                </c:pt>
                <c:pt idx="1">
                  <c:v>8.7191227050784331E-2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BD4D-41E2-A30D-2980F19D969F}"/>
            </c:ext>
          </c:extLst>
        </c:ser>
        <c:ser>
          <c:idx val="2"/>
          <c:order val="2"/>
          <c:tx>
            <c:v>Vox1Vox5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(Tabelle1!$B$124,Tabelle1!$F$124)</c:f>
              <c:numCache>
                <c:formatCode>General</c:formatCode>
                <c:ptCount val="2"/>
                <c:pt idx="0">
                  <c:v>8.7191227050784331E-2</c:v>
                </c:pt>
                <c:pt idx="1">
                  <c:v>0.27330154182244026</c:v>
                </c:pt>
              </c:numCache>
            </c:numRef>
          </c:xVal>
          <c:yVal>
            <c:numRef>
              <c:f>(Tabelle1!$B$125,Tabelle1!$F$125)</c:f>
              <c:numCache>
                <c:formatCode>General</c:formatCode>
                <c:ptCount val="2"/>
                <c:pt idx="0">
                  <c:v>8.7191227050784331E-2</c:v>
                </c:pt>
                <c:pt idx="1">
                  <c:v>0.26104446880182947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BD4D-41E2-A30D-2980F19D969F}"/>
            </c:ext>
          </c:extLst>
        </c:ser>
        <c:ser>
          <c:idx val="3"/>
          <c:order val="3"/>
          <c:tx>
            <c:v>Vo2Vox4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(Tabelle1!$C$124,Tabelle1!$E$124)</c:f>
              <c:numCache>
                <c:formatCode>General</c:formatCode>
                <c:ptCount val="2"/>
                <c:pt idx="0">
                  <c:v>9.1285200930496857E-2</c:v>
                </c:pt>
                <c:pt idx="1">
                  <c:v>-9.1285200930496857E-2</c:v>
                </c:pt>
              </c:numCache>
            </c:numRef>
          </c:xVal>
          <c:yVal>
            <c:numRef>
              <c:f>(Tabelle1!$C$125,Tabelle1!$E$125)</c:f>
              <c:numCache>
                <c:formatCode>General</c:formatCode>
                <c:ptCount val="2"/>
                <c:pt idx="0">
                  <c:v>-8.7191227050784331E-2</c:v>
                </c:pt>
                <c:pt idx="1">
                  <c:v>-8.7191227050784331E-2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BD4D-41E2-A30D-2980F19D969F}"/>
            </c:ext>
          </c:extLst>
        </c:ser>
        <c:ser>
          <c:idx val="4"/>
          <c:order val="4"/>
          <c:tx>
            <c:v>Vox2Vox6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(Tabelle1!$C$124,Tabelle1!$G$124)</c:f>
              <c:numCache>
                <c:formatCode>General</c:formatCode>
                <c:ptCount val="2"/>
                <c:pt idx="0">
                  <c:v>9.1285200930496857E-2</c:v>
                </c:pt>
                <c:pt idx="1">
                  <c:v>0.27330154182244026</c:v>
                </c:pt>
              </c:numCache>
            </c:numRef>
          </c:xVal>
          <c:yVal>
            <c:numRef>
              <c:f>(Tabelle1!$C$125,Tabelle1!$G$125)</c:f>
              <c:numCache>
                <c:formatCode>General</c:formatCode>
                <c:ptCount val="2"/>
                <c:pt idx="0">
                  <c:v>-8.7191227050784331E-2</c:v>
                </c:pt>
                <c:pt idx="1">
                  <c:v>-0.26104446880182947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BD4D-41E2-A30D-2980F19D969F}"/>
            </c:ext>
          </c:extLst>
        </c:ser>
        <c:ser>
          <c:idx val="5"/>
          <c:order val="5"/>
          <c:tx>
            <c:v>Vox3Vox4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(Tabelle1!$D$124,Tabelle1!$E$124)</c:f>
              <c:numCache>
                <c:formatCode>General</c:formatCode>
                <c:ptCount val="2"/>
                <c:pt idx="0">
                  <c:v>-9.1285200930496857E-2</c:v>
                </c:pt>
                <c:pt idx="1">
                  <c:v>-9.1285200930496857E-2</c:v>
                </c:pt>
              </c:numCache>
            </c:numRef>
          </c:xVal>
          <c:yVal>
            <c:numRef>
              <c:f>(Tabelle1!$D$125,Tabelle1!$E$125)</c:f>
              <c:numCache>
                <c:formatCode>General</c:formatCode>
                <c:ptCount val="2"/>
                <c:pt idx="0">
                  <c:v>8.7191227050784331E-2</c:v>
                </c:pt>
                <c:pt idx="1">
                  <c:v>-8.7191227050784331E-2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BD4D-41E2-A30D-2980F19D969F}"/>
            </c:ext>
          </c:extLst>
        </c:ser>
        <c:ser>
          <c:idx val="6"/>
          <c:order val="6"/>
          <c:tx>
            <c:v>Vox3Vox7</c:v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(Tabelle1!$D$124,Tabelle1!$H$124)</c:f>
              <c:numCache>
                <c:formatCode>General</c:formatCode>
                <c:ptCount val="2"/>
                <c:pt idx="0">
                  <c:v>-9.1285200930496857E-2</c:v>
                </c:pt>
                <c:pt idx="1">
                  <c:v>-0.27330154182244026</c:v>
                </c:pt>
              </c:numCache>
            </c:numRef>
          </c:xVal>
          <c:yVal>
            <c:numRef>
              <c:f>(Tabelle1!$D$125,Tabelle1!$H$125)</c:f>
              <c:numCache>
                <c:formatCode>General</c:formatCode>
                <c:ptCount val="2"/>
                <c:pt idx="0">
                  <c:v>8.7191227050784331E-2</c:v>
                </c:pt>
                <c:pt idx="1">
                  <c:v>0.26104446880182947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BD4D-41E2-A30D-2980F19D969F}"/>
            </c:ext>
          </c:extLst>
        </c:ser>
        <c:ser>
          <c:idx val="7"/>
          <c:order val="7"/>
          <c:tx>
            <c:v>Vox4Vox8</c:v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(Tabelle1!$E$124,Tabelle1!$I$124)</c:f>
              <c:numCache>
                <c:formatCode>General</c:formatCode>
                <c:ptCount val="2"/>
                <c:pt idx="0">
                  <c:v>-9.1285200930496857E-2</c:v>
                </c:pt>
                <c:pt idx="1">
                  <c:v>-0.27330154182244026</c:v>
                </c:pt>
              </c:numCache>
            </c:numRef>
          </c:xVal>
          <c:yVal>
            <c:numRef>
              <c:f>(Tabelle1!$E$125,Tabelle1!$I$125)</c:f>
              <c:numCache>
                <c:formatCode>General</c:formatCode>
                <c:ptCount val="2"/>
                <c:pt idx="0">
                  <c:v>-8.7191227050784331E-2</c:v>
                </c:pt>
                <c:pt idx="1">
                  <c:v>-0.26104446880182947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BD4D-41E2-A30D-2980F19D969F}"/>
            </c:ext>
          </c:extLst>
        </c:ser>
        <c:ser>
          <c:idx val="8"/>
          <c:order val="8"/>
          <c:tx>
            <c:v>Vox5Vox6</c:v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(Tabelle1!$F$124,Tabelle1!$G$124)</c:f>
              <c:numCache>
                <c:formatCode>General</c:formatCode>
                <c:ptCount val="2"/>
                <c:pt idx="0">
                  <c:v>0.27330154182244026</c:v>
                </c:pt>
                <c:pt idx="1">
                  <c:v>0.27330154182244026</c:v>
                </c:pt>
              </c:numCache>
            </c:numRef>
          </c:xVal>
          <c:yVal>
            <c:numRef>
              <c:f>(Tabelle1!$F$125,Tabelle1!$G$125)</c:f>
              <c:numCache>
                <c:formatCode>General</c:formatCode>
                <c:ptCount val="2"/>
                <c:pt idx="0">
                  <c:v>0.26104446880182947</c:v>
                </c:pt>
                <c:pt idx="1">
                  <c:v>-0.26104446880182947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BD4D-41E2-A30D-2980F19D969F}"/>
            </c:ext>
          </c:extLst>
        </c:ser>
        <c:ser>
          <c:idx val="9"/>
          <c:order val="9"/>
          <c:tx>
            <c:v>Vox5Vox7</c:v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(Tabelle1!$F$124,Tabelle1!$H$124)</c:f>
              <c:numCache>
                <c:formatCode>General</c:formatCode>
                <c:ptCount val="2"/>
                <c:pt idx="0">
                  <c:v>0.27330154182244026</c:v>
                </c:pt>
                <c:pt idx="1">
                  <c:v>-0.27330154182244026</c:v>
                </c:pt>
              </c:numCache>
            </c:numRef>
          </c:xVal>
          <c:yVal>
            <c:numRef>
              <c:f>(Tabelle1!$F$125,Tabelle1!$H$125)</c:f>
              <c:numCache>
                <c:formatCode>General</c:formatCode>
                <c:ptCount val="2"/>
                <c:pt idx="0">
                  <c:v>0.26104446880182947</c:v>
                </c:pt>
                <c:pt idx="1">
                  <c:v>0.26104446880182947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BD4D-41E2-A30D-2980F19D969F}"/>
            </c:ext>
          </c:extLst>
        </c:ser>
        <c:ser>
          <c:idx val="10"/>
          <c:order val="10"/>
          <c:tx>
            <c:v>Vox6Vox8</c:v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(Tabelle1!$G$124,Tabelle1!$I$124)</c:f>
              <c:numCache>
                <c:formatCode>General</c:formatCode>
                <c:ptCount val="2"/>
                <c:pt idx="0">
                  <c:v>0.27330154182244026</c:v>
                </c:pt>
                <c:pt idx="1">
                  <c:v>-0.27330154182244026</c:v>
                </c:pt>
              </c:numCache>
            </c:numRef>
          </c:xVal>
          <c:yVal>
            <c:numRef>
              <c:f>(Tabelle1!$G$125,Tabelle1!$I$125)</c:f>
              <c:numCache>
                <c:formatCode>General</c:formatCode>
                <c:ptCount val="2"/>
                <c:pt idx="0">
                  <c:v>-0.26104446880182947</c:v>
                </c:pt>
                <c:pt idx="1">
                  <c:v>-0.26104446880182947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BD4D-41E2-A30D-2980F19D969F}"/>
            </c:ext>
          </c:extLst>
        </c:ser>
        <c:ser>
          <c:idx val="11"/>
          <c:order val="11"/>
          <c:tx>
            <c:v>Vox7Vox8</c:v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(Tabelle1!$H$124,Tabelle1!$I$124)</c:f>
              <c:numCache>
                <c:formatCode>General</c:formatCode>
                <c:ptCount val="2"/>
                <c:pt idx="0">
                  <c:v>-0.27330154182244026</c:v>
                </c:pt>
                <c:pt idx="1">
                  <c:v>-0.27330154182244026</c:v>
                </c:pt>
              </c:numCache>
            </c:numRef>
          </c:xVal>
          <c:yVal>
            <c:numRef>
              <c:f>(Tabelle1!$H$125,Tabelle1!$I$125)</c:f>
              <c:numCache>
                <c:formatCode>General</c:formatCode>
                <c:ptCount val="2"/>
                <c:pt idx="0">
                  <c:v>0.26104446880182947</c:v>
                </c:pt>
                <c:pt idx="1">
                  <c:v>-0.26104446880182947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BD4D-41E2-A30D-2980F19D96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41144111"/>
        <c:axId val="1441143631"/>
      </c:scatterChart>
      <c:valAx>
        <c:axId val="1441144111"/>
        <c:scaling>
          <c:orientation val="minMax"/>
          <c:max val="2.2000000000000002"/>
          <c:min val="-2.200000000000000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441143631"/>
        <c:crosses val="autoZero"/>
        <c:crossBetween val="midCat"/>
      </c:valAx>
      <c:valAx>
        <c:axId val="1441143631"/>
        <c:scaling>
          <c:orientation val="minMax"/>
          <c:max val="1.5"/>
          <c:min val="-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4411441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RR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Tabelle1!$B$388:$Z$388</c:f>
              <c:numCache>
                <c:formatCode>General</c:formatCode>
                <c:ptCount val="25"/>
                <c:pt idx="0">
                  <c:v>0.5</c:v>
                </c:pt>
                <c:pt idx="1">
                  <c:v>0.5505102572168219</c:v>
                </c:pt>
                <c:pt idx="2">
                  <c:v>0.57735026918962584</c:v>
                </c:pt>
                <c:pt idx="3">
                  <c:v>0.58578643762690497</c:v>
                </c:pt>
                <c:pt idx="4">
                  <c:v>0.57735026918962584</c:v>
                </c:pt>
                <c:pt idx="5">
                  <c:v>0.5505102572168219</c:v>
                </c:pt>
                <c:pt idx="6">
                  <c:v>0.5</c:v>
                </c:pt>
                <c:pt idx="7">
                  <c:v>0.41421356237309503</c:v>
                </c:pt>
                <c:pt idx="8">
                  <c:v>0.26794919243112286</c:v>
                </c:pt>
                <c:pt idx="9">
                  <c:v>0</c:v>
                </c:pt>
                <c:pt idx="10">
                  <c:v>-0.57735026918962606</c:v>
                </c:pt>
                <c:pt idx="11">
                  <c:v>-2.4142135623730918</c:v>
                </c:pt>
                <c:pt idx="12">
                  <c:v>-9007199254740991</c:v>
                </c:pt>
                <c:pt idx="13">
                  <c:v>5.4494897427831761</c:v>
                </c:pt>
                <c:pt idx="14">
                  <c:v>3.7320508075688759</c:v>
                </c:pt>
                <c:pt idx="15">
                  <c:v>3.4142135623730945</c:v>
                </c:pt>
                <c:pt idx="16">
                  <c:v>3.7320508075688759</c:v>
                </c:pt>
                <c:pt idx="17">
                  <c:v>5.4494897427831805</c:v>
                </c:pt>
                <c:pt idx="18">
                  <c:v>4503599627370497</c:v>
                </c:pt>
                <c:pt idx="19">
                  <c:v>-2.414213562373102</c:v>
                </c:pt>
                <c:pt idx="20">
                  <c:v>-0.5773502691896254</c:v>
                </c:pt>
                <c:pt idx="21">
                  <c:v>0</c:v>
                </c:pt>
                <c:pt idx="22">
                  <c:v>0.26794919243112231</c:v>
                </c:pt>
                <c:pt idx="23">
                  <c:v>0.41421356237309509</c:v>
                </c:pt>
                <c:pt idx="24">
                  <c:v>0.49999999999999994</c:v>
                </c:pt>
              </c:numCache>
            </c:numRef>
          </c:xVal>
          <c:yVal>
            <c:numRef>
              <c:f>Tabelle1!$B$389:$Z$389</c:f>
              <c:numCache>
                <c:formatCode>General</c:formatCode>
                <c:ptCount val="25"/>
                <c:pt idx="0">
                  <c:v>0.5</c:v>
                </c:pt>
                <c:pt idx="1">
                  <c:v>0.5505102572168219</c:v>
                </c:pt>
                <c:pt idx="2">
                  <c:v>0.57735026918962584</c:v>
                </c:pt>
                <c:pt idx="3">
                  <c:v>0.58578643762690497</c:v>
                </c:pt>
                <c:pt idx="4">
                  <c:v>0.57735026918962584</c:v>
                </c:pt>
                <c:pt idx="5">
                  <c:v>0.5505102572168219</c:v>
                </c:pt>
                <c:pt idx="6">
                  <c:v>0.5</c:v>
                </c:pt>
                <c:pt idx="7">
                  <c:v>0.41421356237309503</c:v>
                </c:pt>
                <c:pt idx="8">
                  <c:v>0.26794919243112286</c:v>
                </c:pt>
                <c:pt idx="9">
                  <c:v>0</c:v>
                </c:pt>
                <c:pt idx="10">
                  <c:v>-0.57735026918962606</c:v>
                </c:pt>
                <c:pt idx="11">
                  <c:v>-2.4142135623730918</c:v>
                </c:pt>
                <c:pt idx="12">
                  <c:v>-9007199254740991</c:v>
                </c:pt>
                <c:pt idx="13">
                  <c:v>5.4494897427831761</c:v>
                </c:pt>
                <c:pt idx="14">
                  <c:v>3.7320508075688759</c:v>
                </c:pt>
                <c:pt idx="15">
                  <c:v>3.4142135623730945</c:v>
                </c:pt>
                <c:pt idx="16">
                  <c:v>3.7320508075688759</c:v>
                </c:pt>
                <c:pt idx="17">
                  <c:v>5.4494897427831805</c:v>
                </c:pt>
                <c:pt idx="18">
                  <c:v>4503599627370497</c:v>
                </c:pt>
                <c:pt idx="19">
                  <c:v>-2.414213562373102</c:v>
                </c:pt>
                <c:pt idx="20">
                  <c:v>-0.5773502691896254</c:v>
                </c:pt>
                <c:pt idx="21">
                  <c:v>0</c:v>
                </c:pt>
                <c:pt idx="22">
                  <c:v>0.26794919243112231</c:v>
                </c:pt>
                <c:pt idx="23">
                  <c:v>0.41421356237309509</c:v>
                </c:pt>
                <c:pt idx="24">
                  <c:v>0.49999999999999994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297B-4478-ADE0-5D42DA89D8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56580303"/>
        <c:axId val="1256562063"/>
      </c:scatterChart>
      <c:valAx>
        <c:axId val="1256580303"/>
        <c:scaling>
          <c:orientation val="minMax"/>
          <c:max val="1"/>
          <c:min val="-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256562063"/>
        <c:crosses val="autoZero"/>
        <c:crossBetween val="midCat"/>
      </c:valAx>
      <c:valAx>
        <c:axId val="1256562063"/>
        <c:scaling>
          <c:orientation val="minMax"/>
          <c:max val="1"/>
          <c:min val="-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2565803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RR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Tabelle1!$N$308:$NI$308</c:f>
              <c:numCache>
                <c:formatCode>General</c:formatCode>
                <c:ptCount val="360"/>
                <c:pt idx="0">
                  <c:v>0</c:v>
                </c:pt>
                <c:pt idx="1">
                  <c:v>1.7452406437283512E-2</c:v>
                </c:pt>
                <c:pt idx="2">
                  <c:v>3.4899496702500969E-2</c:v>
                </c:pt>
                <c:pt idx="3">
                  <c:v>5.2335956242943835E-2</c:v>
                </c:pt>
                <c:pt idx="4">
                  <c:v>6.9756473744125302E-2</c:v>
                </c:pt>
                <c:pt idx="5">
                  <c:v>8.7155742747658166E-2</c:v>
                </c:pt>
                <c:pt idx="6">
                  <c:v>0.10452846326765347</c:v>
                </c:pt>
                <c:pt idx="7">
                  <c:v>0.12186934340514748</c:v>
                </c:pt>
                <c:pt idx="8">
                  <c:v>0.13917310096006544</c:v>
                </c:pt>
                <c:pt idx="9">
                  <c:v>0.15643446504023087</c:v>
                </c:pt>
                <c:pt idx="10">
                  <c:v>0.17364817766693033</c:v>
                </c:pt>
                <c:pt idx="11">
                  <c:v>0.1908089953765448</c:v>
                </c:pt>
                <c:pt idx="12">
                  <c:v>0.20791169081775934</c:v>
                </c:pt>
                <c:pt idx="13">
                  <c:v>0.224951054343865</c:v>
                </c:pt>
                <c:pt idx="14">
                  <c:v>0.24192189559966773</c:v>
                </c:pt>
                <c:pt idx="15">
                  <c:v>0.25881904510252074</c:v>
                </c:pt>
                <c:pt idx="16">
                  <c:v>0.27563735581699916</c:v>
                </c:pt>
                <c:pt idx="17">
                  <c:v>0.29237170472273677</c:v>
                </c:pt>
                <c:pt idx="18">
                  <c:v>0.3090169943749474</c:v>
                </c:pt>
                <c:pt idx="19">
                  <c:v>0.3255681544571567</c:v>
                </c:pt>
                <c:pt idx="20">
                  <c:v>0.34202014332566871</c:v>
                </c:pt>
                <c:pt idx="21">
                  <c:v>0.35836794954530027</c:v>
                </c:pt>
                <c:pt idx="22">
                  <c:v>0.37460659341591201</c:v>
                </c:pt>
                <c:pt idx="23">
                  <c:v>0.39073112848927377</c:v>
                </c:pt>
                <c:pt idx="24">
                  <c:v>0.40673664307580021</c:v>
                </c:pt>
                <c:pt idx="25">
                  <c:v>0.42261826174069944</c:v>
                </c:pt>
                <c:pt idx="26">
                  <c:v>0.4383711467890774</c:v>
                </c:pt>
                <c:pt idx="27">
                  <c:v>0.45399049973954675</c:v>
                </c:pt>
                <c:pt idx="28">
                  <c:v>0.46947156278589081</c:v>
                </c:pt>
                <c:pt idx="29">
                  <c:v>0.48480962024633706</c:v>
                </c:pt>
                <c:pt idx="30">
                  <c:v>0.49999999999999994</c:v>
                </c:pt>
                <c:pt idx="31">
                  <c:v>0.51503807491005416</c:v>
                </c:pt>
                <c:pt idx="32">
                  <c:v>0.5299192642332049</c:v>
                </c:pt>
                <c:pt idx="33">
                  <c:v>0.54463903501502708</c:v>
                </c:pt>
                <c:pt idx="34">
                  <c:v>0.5591929034707469</c:v>
                </c:pt>
                <c:pt idx="35">
                  <c:v>0.57357643635104605</c:v>
                </c:pt>
                <c:pt idx="36">
                  <c:v>0.58778525229247314</c:v>
                </c:pt>
                <c:pt idx="37">
                  <c:v>0.60181502315204827</c:v>
                </c:pt>
                <c:pt idx="38">
                  <c:v>0.61566147532565829</c:v>
                </c:pt>
                <c:pt idx="39">
                  <c:v>0.62932039104983739</c:v>
                </c:pt>
                <c:pt idx="40">
                  <c:v>0.64278760968653925</c:v>
                </c:pt>
                <c:pt idx="41">
                  <c:v>0.65605902899050728</c:v>
                </c:pt>
                <c:pt idx="42">
                  <c:v>0.66913060635885824</c:v>
                </c:pt>
                <c:pt idx="43">
                  <c:v>0.68199836006249848</c:v>
                </c:pt>
                <c:pt idx="44">
                  <c:v>0.69465837045899725</c:v>
                </c:pt>
                <c:pt idx="45">
                  <c:v>0.70710678118654746</c:v>
                </c:pt>
                <c:pt idx="46">
                  <c:v>0.71933980033865108</c:v>
                </c:pt>
                <c:pt idx="47">
                  <c:v>0.73135370161917046</c:v>
                </c:pt>
                <c:pt idx="48">
                  <c:v>0.74314482547739424</c:v>
                </c:pt>
                <c:pt idx="49">
                  <c:v>0.75470958022277201</c:v>
                </c:pt>
                <c:pt idx="50">
                  <c:v>0.76604444311897801</c:v>
                </c:pt>
                <c:pt idx="51">
                  <c:v>0.7771459614569709</c:v>
                </c:pt>
                <c:pt idx="52">
                  <c:v>0.78801075360672201</c:v>
                </c:pt>
                <c:pt idx="53">
                  <c:v>0.79863551004729283</c:v>
                </c:pt>
                <c:pt idx="54">
                  <c:v>0.80901699437494745</c:v>
                </c:pt>
                <c:pt idx="55">
                  <c:v>0.8191520442889918</c:v>
                </c:pt>
                <c:pt idx="56">
                  <c:v>0.82903757255504174</c:v>
                </c:pt>
                <c:pt idx="57">
                  <c:v>0.83867056794542405</c:v>
                </c:pt>
                <c:pt idx="58">
                  <c:v>0.84804809615642596</c:v>
                </c:pt>
                <c:pt idx="59">
                  <c:v>0.85716730070211233</c:v>
                </c:pt>
                <c:pt idx="60">
                  <c:v>0.8660254037844386</c:v>
                </c:pt>
                <c:pt idx="61">
                  <c:v>0.87461970713939574</c:v>
                </c:pt>
                <c:pt idx="62">
                  <c:v>0.88294759285892688</c:v>
                </c:pt>
                <c:pt idx="63">
                  <c:v>0.89100652418836779</c:v>
                </c:pt>
                <c:pt idx="64">
                  <c:v>0.89879404629916704</c:v>
                </c:pt>
                <c:pt idx="65">
                  <c:v>0.90630778703664994</c:v>
                </c:pt>
                <c:pt idx="66">
                  <c:v>0.91354545764260087</c:v>
                </c:pt>
                <c:pt idx="67">
                  <c:v>0.92050485345244037</c:v>
                </c:pt>
                <c:pt idx="68">
                  <c:v>0.92718385456678742</c:v>
                </c:pt>
                <c:pt idx="69">
                  <c:v>0.93358042649720174</c:v>
                </c:pt>
                <c:pt idx="70">
                  <c:v>0.93969262078590832</c:v>
                </c:pt>
                <c:pt idx="71">
                  <c:v>0.94551857559931674</c:v>
                </c:pt>
                <c:pt idx="72">
                  <c:v>0.95105651629515353</c:v>
                </c:pt>
                <c:pt idx="73">
                  <c:v>0.95630475596303544</c:v>
                </c:pt>
                <c:pt idx="74">
                  <c:v>0.96126169593831889</c:v>
                </c:pt>
                <c:pt idx="75">
                  <c:v>0.96592582628906831</c:v>
                </c:pt>
                <c:pt idx="76">
                  <c:v>0.97029572627599647</c:v>
                </c:pt>
                <c:pt idx="77">
                  <c:v>0.97437006478523525</c:v>
                </c:pt>
                <c:pt idx="78">
                  <c:v>0.97814760073380558</c:v>
                </c:pt>
                <c:pt idx="79">
                  <c:v>0.98162718344766398</c:v>
                </c:pt>
                <c:pt idx="80">
                  <c:v>0.98480775301220802</c:v>
                </c:pt>
                <c:pt idx="81">
                  <c:v>0.98768834059513777</c:v>
                </c:pt>
                <c:pt idx="82">
                  <c:v>0.99026806874157036</c:v>
                </c:pt>
                <c:pt idx="83">
                  <c:v>0.99254615164132198</c:v>
                </c:pt>
                <c:pt idx="84">
                  <c:v>0.99452189536827329</c:v>
                </c:pt>
                <c:pt idx="85">
                  <c:v>0.99619469809174555</c:v>
                </c:pt>
                <c:pt idx="86">
                  <c:v>0.9975640502598242</c:v>
                </c:pt>
                <c:pt idx="87">
                  <c:v>0.99862953475457383</c:v>
                </c:pt>
                <c:pt idx="88">
                  <c:v>0.99939082701909576</c:v>
                </c:pt>
                <c:pt idx="89">
                  <c:v>0.99984769515639127</c:v>
                </c:pt>
                <c:pt idx="90">
                  <c:v>1</c:v>
                </c:pt>
                <c:pt idx="91">
                  <c:v>0.99984769515639127</c:v>
                </c:pt>
                <c:pt idx="92">
                  <c:v>0.99939082701909576</c:v>
                </c:pt>
                <c:pt idx="93">
                  <c:v>0.99862953475457383</c:v>
                </c:pt>
                <c:pt idx="94">
                  <c:v>0.9975640502598242</c:v>
                </c:pt>
                <c:pt idx="95">
                  <c:v>0.99619469809174555</c:v>
                </c:pt>
                <c:pt idx="96">
                  <c:v>0.99452189536827329</c:v>
                </c:pt>
                <c:pt idx="97">
                  <c:v>0.99254615164132209</c:v>
                </c:pt>
                <c:pt idx="98">
                  <c:v>0.99026806874157036</c:v>
                </c:pt>
                <c:pt idx="99">
                  <c:v>0.98768834059513777</c:v>
                </c:pt>
                <c:pt idx="100">
                  <c:v>0.98480775301220802</c:v>
                </c:pt>
                <c:pt idx="101">
                  <c:v>0.98162718344766398</c:v>
                </c:pt>
                <c:pt idx="102">
                  <c:v>0.97814760073380569</c:v>
                </c:pt>
                <c:pt idx="103">
                  <c:v>0.97437006478523525</c:v>
                </c:pt>
                <c:pt idx="104">
                  <c:v>0.97029572627599647</c:v>
                </c:pt>
                <c:pt idx="105">
                  <c:v>0.96592582628906831</c:v>
                </c:pt>
                <c:pt idx="106">
                  <c:v>0.96126169593831889</c:v>
                </c:pt>
                <c:pt idx="107">
                  <c:v>0.95630475596303555</c:v>
                </c:pt>
                <c:pt idx="108">
                  <c:v>0.95105651629515364</c:v>
                </c:pt>
                <c:pt idx="109">
                  <c:v>0.94551857559931685</c:v>
                </c:pt>
                <c:pt idx="110">
                  <c:v>0.93969262078590843</c:v>
                </c:pt>
                <c:pt idx="111">
                  <c:v>0.93358042649720174</c:v>
                </c:pt>
                <c:pt idx="112">
                  <c:v>0.92718385456678742</c:v>
                </c:pt>
                <c:pt idx="113">
                  <c:v>0.92050485345244026</c:v>
                </c:pt>
                <c:pt idx="114">
                  <c:v>0.91354545764260087</c:v>
                </c:pt>
                <c:pt idx="115">
                  <c:v>0.90630778703665005</c:v>
                </c:pt>
                <c:pt idx="116">
                  <c:v>0.89879404629916693</c:v>
                </c:pt>
                <c:pt idx="117">
                  <c:v>0.8910065241883679</c:v>
                </c:pt>
                <c:pt idx="118">
                  <c:v>0.88294759285892688</c:v>
                </c:pt>
                <c:pt idx="119">
                  <c:v>0.87461970713939585</c:v>
                </c:pt>
                <c:pt idx="120">
                  <c:v>0.86602540378443871</c:v>
                </c:pt>
                <c:pt idx="121">
                  <c:v>0.85716730070211233</c:v>
                </c:pt>
                <c:pt idx="122">
                  <c:v>0.84804809615642607</c:v>
                </c:pt>
                <c:pt idx="123">
                  <c:v>0.83867056794542394</c:v>
                </c:pt>
                <c:pt idx="124">
                  <c:v>0.82903757255504174</c:v>
                </c:pt>
                <c:pt idx="125">
                  <c:v>0.81915204428899169</c:v>
                </c:pt>
                <c:pt idx="126">
                  <c:v>0.80901699437494745</c:v>
                </c:pt>
                <c:pt idx="127">
                  <c:v>0.79863551004729272</c:v>
                </c:pt>
                <c:pt idx="128">
                  <c:v>0.78801075360672201</c:v>
                </c:pt>
                <c:pt idx="129">
                  <c:v>0.77714596145697101</c:v>
                </c:pt>
                <c:pt idx="130">
                  <c:v>0.76604444311897801</c:v>
                </c:pt>
                <c:pt idx="131">
                  <c:v>0.75470958022277213</c:v>
                </c:pt>
                <c:pt idx="132">
                  <c:v>0.74314482547739424</c:v>
                </c:pt>
                <c:pt idx="133">
                  <c:v>0.73135370161917057</c:v>
                </c:pt>
                <c:pt idx="134">
                  <c:v>0.71933980033865108</c:v>
                </c:pt>
                <c:pt idx="135">
                  <c:v>0.70710678118654757</c:v>
                </c:pt>
                <c:pt idx="136">
                  <c:v>0.69465837045899714</c:v>
                </c:pt>
                <c:pt idx="137">
                  <c:v>0.68199836006249859</c:v>
                </c:pt>
                <c:pt idx="138">
                  <c:v>0.66913060635885835</c:v>
                </c:pt>
                <c:pt idx="139">
                  <c:v>0.65605902899050728</c:v>
                </c:pt>
                <c:pt idx="140">
                  <c:v>0.64278760968653947</c:v>
                </c:pt>
                <c:pt idx="141">
                  <c:v>0.62932039104983739</c:v>
                </c:pt>
                <c:pt idx="142">
                  <c:v>0.6156614753256584</c:v>
                </c:pt>
                <c:pt idx="143">
                  <c:v>0.60181502315204816</c:v>
                </c:pt>
                <c:pt idx="144">
                  <c:v>0.58778525229247325</c:v>
                </c:pt>
                <c:pt idx="145">
                  <c:v>0.57357643635104594</c:v>
                </c:pt>
                <c:pt idx="146">
                  <c:v>0.5591929034707469</c:v>
                </c:pt>
                <c:pt idx="147">
                  <c:v>0.54463903501502731</c:v>
                </c:pt>
                <c:pt idx="148">
                  <c:v>0.5299192642332049</c:v>
                </c:pt>
                <c:pt idx="149">
                  <c:v>0.51503807491005438</c:v>
                </c:pt>
                <c:pt idx="150">
                  <c:v>0.49999999999999994</c:v>
                </c:pt>
                <c:pt idx="151">
                  <c:v>0.48480962024633717</c:v>
                </c:pt>
                <c:pt idx="152">
                  <c:v>0.46947156278589069</c:v>
                </c:pt>
                <c:pt idx="153">
                  <c:v>0.45399049973954686</c:v>
                </c:pt>
                <c:pt idx="154">
                  <c:v>0.43837114678907729</c:v>
                </c:pt>
                <c:pt idx="155">
                  <c:v>0.4226182617406995</c:v>
                </c:pt>
                <c:pt idx="156">
                  <c:v>0.40673664307580043</c:v>
                </c:pt>
                <c:pt idx="157">
                  <c:v>0.39073112848927377</c:v>
                </c:pt>
                <c:pt idx="158">
                  <c:v>0.37460659341591224</c:v>
                </c:pt>
                <c:pt idx="159">
                  <c:v>0.35836794954530021</c:v>
                </c:pt>
                <c:pt idx="160">
                  <c:v>0.34202014332566888</c:v>
                </c:pt>
                <c:pt idx="161">
                  <c:v>0.32556815445715659</c:v>
                </c:pt>
                <c:pt idx="162">
                  <c:v>0.30901699437494751</c:v>
                </c:pt>
                <c:pt idx="163">
                  <c:v>0.2923717047227366</c:v>
                </c:pt>
                <c:pt idx="164">
                  <c:v>0.27563735581699922</c:v>
                </c:pt>
                <c:pt idx="165">
                  <c:v>0.25881904510252102</c:v>
                </c:pt>
                <c:pt idx="166">
                  <c:v>0.24192189559966773</c:v>
                </c:pt>
                <c:pt idx="167">
                  <c:v>0.2249510543438652</c:v>
                </c:pt>
                <c:pt idx="168">
                  <c:v>0.20791169081775931</c:v>
                </c:pt>
                <c:pt idx="169">
                  <c:v>0.19080899537654497</c:v>
                </c:pt>
                <c:pt idx="170">
                  <c:v>0.17364817766693028</c:v>
                </c:pt>
                <c:pt idx="171">
                  <c:v>0.15643446504023098</c:v>
                </c:pt>
                <c:pt idx="172">
                  <c:v>0.13917310096006533</c:v>
                </c:pt>
                <c:pt idx="173">
                  <c:v>0.12186934340514755</c:v>
                </c:pt>
                <c:pt idx="174">
                  <c:v>0.10452846326765373</c:v>
                </c:pt>
                <c:pt idx="175">
                  <c:v>8.7155742747658194E-2</c:v>
                </c:pt>
                <c:pt idx="176">
                  <c:v>6.9756473744125524E-2</c:v>
                </c:pt>
                <c:pt idx="177">
                  <c:v>5.2335956242943807E-2</c:v>
                </c:pt>
                <c:pt idx="178">
                  <c:v>3.4899496702501143E-2</c:v>
                </c:pt>
                <c:pt idx="179">
                  <c:v>1.7452406437283439E-2</c:v>
                </c:pt>
                <c:pt idx="180">
                  <c:v>1.22514845490862E-16</c:v>
                </c:pt>
                <c:pt idx="181">
                  <c:v>-1.7452406437283637E-2</c:v>
                </c:pt>
                <c:pt idx="182">
                  <c:v>-3.48994967025009E-2</c:v>
                </c:pt>
                <c:pt idx="183">
                  <c:v>-5.2335956242943557E-2</c:v>
                </c:pt>
                <c:pt idx="184">
                  <c:v>-6.9756473744125275E-2</c:v>
                </c:pt>
                <c:pt idx="185">
                  <c:v>-8.7155742747657944E-2</c:v>
                </c:pt>
                <c:pt idx="186">
                  <c:v>-0.1045284632676535</c:v>
                </c:pt>
                <c:pt idx="187">
                  <c:v>-0.12186934340514731</c:v>
                </c:pt>
                <c:pt idx="188">
                  <c:v>-0.13917310096006552</c:v>
                </c:pt>
                <c:pt idx="189">
                  <c:v>-0.15643446504023073</c:v>
                </c:pt>
                <c:pt idx="190">
                  <c:v>-0.17364817766693047</c:v>
                </c:pt>
                <c:pt idx="191">
                  <c:v>-0.19080899537654472</c:v>
                </c:pt>
                <c:pt idx="192">
                  <c:v>-0.20791169081775951</c:v>
                </c:pt>
                <c:pt idx="193">
                  <c:v>-0.22495105434386498</c:v>
                </c:pt>
                <c:pt idx="194">
                  <c:v>-0.24192189559966751</c:v>
                </c:pt>
                <c:pt idx="195">
                  <c:v>-0.25881904510252079</c:v>
                </c:pt>
                <c:pt idx="196">
                  <c:v>-0.275637355816999</c:v>
                </c:pt>
                <c:pt idx="197">
                  <c:v>-0.29237170472273677</c:v>
                </c:pt>
                <c:pt idx="198">
                  <c:v>-0.30901699437494728</c:v>
                </c:pt>
                <c:pt idx="199">
                  <c:v>-0.32556815445715676</c:v>
                </c:pt>
                <c:pt idx="200">
                  <c:v>-0.34202014332566866</c:v>
                </c:pt>
                <c:pt idx="201">
                  <c:v>-0.35836794954530043</c:v>
                </c:pt>
                <c:pt idx="202">
                  <c:v>-0.37460659341591201</c:v>
                </c:pt>
                <c:pt idx="203">
                  <c:v>-0.39073112848927355</c:v>
                </c:pt>
                <c:pt idx="204">
                  <c:v>-0.40673664307580021</c:v>
                </c:pt>
                <c:pt idx="205">
                  <c:v>-0.42261826174069927</c:v>
                </c:pt>
                <c:pt idx="206">
                  <c:v>-0.43837114678907746</c:v>
                </c:pt>
                <c:pt idx="207">
                  <c:v>-0.45399049973954669</c:v>
                </c:pt>
                <c:pt idx="208">
                  <c:v>-0.46947156278589086</c:v>
                </c:pt>
                <c:pt idx="209">
                  <c:v>-0.48480962024633695</c:v>
                </c:pt>
                <c:pt idx="210">
                  <c:v>-0.50000000000000011</c:v>
                </c:pt>
                <c:pt idx="211">
                  <c:v>-0.51503807491005416</c:v>
                </c:pt>
                <c:pt idx="212">
                  <c:v>-0.52991926423320479</c:v>
                </c:pt>
                <c:pt idx="213">
                  <c:v>-0.54463903501502708</c:v>
                </c:pt>
                <c:pt idx="214">
                  <c:v>-0.55919290347074668</c:v>
                </c:pt>
                <c:pt idx="215">
                  <c:v>-0.57357643635104616</c:v>
                </c:pt>
                <c:pt idx="216">
                  <c:v>-0.58778525229247303</c:v>
                </c:pt>
                <c:pt idx="217">
                  <c:v>-0.60181502315204838</c:v>
                </c:pt>
                <c:pt idx="218">
                  <c:v>-0.61566147532565818</c:v>
                </c:pt>
                <c:pt idx="219">
                  <c:v>-0.62932039104983761</c:v>
                </c:pt>
                <c:pt idx="220">
                  <c:v>-0.64278760968653925</c:v>
                </c:pt>
                <c:pt idx="221">
                  <c:v>-0.65605902899050705</c:v>
                </c:pt>
                <c:pt idx="222">
                  <c:v>-0.66913060635885824</c:v>
                </c:pt>
                <c:pt idx="223">
                  <c:v>-0.68199836006249837</c:v>
                </c:pt>
                <c:pt idx="224">
                  <c:v>-0.69465837045899737</c:v>
                </c:pt>
                <c:pt idx="225">
                  <c:v>-0.70710678118654746</c:v>
                </c:pt>
                <c:pt idx="226">
                  <c:v>-0.71933980033865119</c:v>
                </c:pt>
                <c:pt idx="227">
                  <c:v>-0.73135370161917046</c:v>
                </c:pt>
                <c:pt idx="228">
                  <c:v>-0.74314482547739436</c:v>
                </c:pt>
                <c:pt idx="229">
                  <c:v>-0.75470958022277201</c:v>
                </c:pt>
                <c:pt idx="230">
                  <c:v>-0.7660444431189779</c:v>
                </c:pt>
                <c:pt idx="231">
                  <c:v>-0.77714596145697057</c:v>
                </c:pt>
                <c:pt idx="232">
                  <c:v>-0.78801075360672213</c:v>
                </c:pt>
                <c:pt idx="233">
                  <c:v>-0.79863551004729283</c:v>
                </c:pt>
                <c:pt idx="234">
                  <c:v>-0.80901699437494734</c:v>
                </c:pt>
                <c:pt idx="235">
                  <c:v>-0.81915204428899158</c:v>
                </c:pt>
                <c:pt idx="236">
                  <c:v>-0.82903757255504185</c:v>
                </c:pt>
                <c:pt idx="237">
                  <c:v>-0.83867056794542405</c:v>
                </c:pt>
                <c:pt idx="238">
                  <c:v>-0.84804809615642596</c:v>
                </c:pt>
                <c:pt idx="239">
                  <c:v>-0.85716730070211211</c:v>
                </c:pt>
                <c:pt idx="240">
                  <c:v>-0.86602540378443837</c:v>
                </c:pt>
                <c:pt idx="241">
                  <c:v>-0.87461970713939596</c:v>
                </c:pt>
                <c:pt idx="242">
                  <c:v>-0.88294759285892699</c:v>
                </c:pt>
                <c:pt idx="243">
                  <c:v>-0.89100652418836779</c:v>
                </c:pt>
                <c:pt idx="244">
                  <c:v>-0.89879404629916682</c:v>
                </c:pt>
                <c:pt idx="245">
                  <c:v>-0.90630778703665005</c:v>
                </c:pt>
                <c:pt idx="246">
                  <c:v>-0.91354545764260098</c:v>
                </c:pt>
                <c:pt idx="247">
                  <c:v>-0.92050485345244026</c:v>
                </c:pt>
                <c:pt idx="248">
                  <c:v>-0.92718385456678731</c:v>
                </c:pt>
                <c:pt idx="249">
                  <c:v>-0.93358042649720163</c:v>
                </c:pt>
                <c:pt idx="250">
                  <c:v>-0.93969262078590843</c:v>
                </c:pt>
                <c:pt idx="251">
                  <c:v>-0.94551857559931685</c:v>
                </c:pt>
                <c:pt idx="252">
                  <c:v>-0.95105651629515353</c:v>
                </c:pt>
                <c:pt idx="253">
                  <c:v>-0.95630475596303532</c:v>
                </c:pt>
                <c:pt idx="254">
                  <c:v>-0.96126169593831901</c:v>
                </c:pt>
                <c:pt idx="255">
                  <c:v>-0.96592582628906831</c:v>
                </c:pt>
                <c:pt idx="256">
                  <c:v>-0.97029572627599647</c:v>
                </c:pt>
                <c:pt idx="257">
                  <c:v>-0.97437006478523513</c:v>
                </c:pt>
                <c:pt idx="258">
                  <c:v>-0.97814760073380558</c:v>
                </c:pt>
                <c:pt idx="259">
                  <c:v>-0.98162718344766398</c:v>
                </c:pt>
                <c:pt idx="260">
                  <c:v>-0.98480775301220802</c:v>
                </c:pt>
                <c:pt idx="261">
                  <c:v>-0.98768834059513766</c:v>
                </c:pt>
                <c:pt idx="262">
                  <c:v>-0.99026806874157025</c:v>
                </c:pt>
                <c:pt idx="263">
                  <c:v>-0.99254615164132209</c:v>
                </c:pt>
                <c:pt idx="264">
                  <c:v>-0.9945218953682734</c:v>
                </c:pt>
                <c:pt idx="265">
                  <c:v>-0.99619469809174555</c:v>
                </c:pt>
                <c:pt idx="266">
                  <c:v>-0.9975640502598242</c:v>
                </c:pt>
                <c:pt idx="267">
                  <c:v>-0.99862953475457383</c:v>
                </c:pt>
                <c:pt idx="268">
                  <c:v>-0.99939082701909576</c:v>
                </c:pt>
                <c:pt idx="269">
                  <c:v>-0.99984769515639127</c:v>
                </c:pt>
                <c:pt idx="270">
                  <c:v>-1</c:v>
                </c:pt>
                <c:pt idx="271">
                  <c:v>-0.99984769515639127</c:v>
                </c:pt>
                <c:pt idx="272">
                  <c:v>-0.99939082701909576</c:v>
                </c:pt>
                <c:pt idx="273">
                  <c:v>-0.99862953475457383</c:v>
                </c:pt>
                <c:pt idx="274">
                  <c:v>-0.99756405025982431</c:v>
                </c:pt>
                <c:pt idx="275">
                  <c:v>-0.99619469809174555</c:v>
                </c:pt>
                <c:pt idx="276">
                  <c:v>-0.9945218953682734</c:v>
                </c:pt>
                <c:pt idx="277">
                  <c:v>-0.99254615164132198</c:v>
                </c:pt>
                <c:pt idx="278">
                  <c:v>-0.99026806874157036</c:v>
                </c:pt>
                <c:pt idx="279">
                  <c:v>-0.98768834059513777</c:v>
                </c:pt>
                <c:pt idx="280">
                  <c:v>-0.98480775301220813</c:v>
                </c:pt>
                <c:pt idx="281">
                  <c:v>-0.98162718344766386</c:v>
                </c:pt>
                <c:pt idx="282">
                  <c:v>-0.97814760073380558</c:v>
                </c:pt>
                <c:pt idx="283">
                  <c:v>-0.97437006478523525</c:v>
                </c:pt>
                <c:pt idx="284">
                  <c:v>-0.97029572627599658</c:v>
                </c:pt>
                <c:pt idx="285">
                  <c:v>-0.96592582628906842</c:v>
                </c:pt>
                <c:pt idx="286">
                  <c:v>-0.96126169593831878</c:v>
                </c:pt>
                <c:pt idx="287">
                  <c:v>-0.95630475596303544</c:v>
                </c:pt>
                <c:pt idx="288">
                  <c:v>-0.95105651629515364</c:v>
                </c:pt>
                <c:pt idx="289">
                  <c:v>-0.94551857559931696</c:v>
                </c:pt>
                <c:pt idx="290">
                  <c:v>-0.93969262078590832</c:v>
                </c:pt>
                <c:pt idx="291">
                  <c:v>-0.93358042649720174</c:v>
                </c:pt>
                <c:pt idx="292">
                  <c:v>-0.92718385456678742</c:v>
                </c:pt>
                <c:pt idx="293">
                  <c:v>-0.92050485345244049</c:v>
                </c:pt>
                <c:pt idx="294">
                  <c:v>-0.91354545764260109</c:v>
                </c:pt>
                <c:pt idx="295">
                  <c:v>-0.90630778703664994</c:v>
                </c:pt>
                <c:pt idx="296">
                  <c:v>-0.89879404629916704</c:v>
                </c:pt>
                <c:pt idx="297">
                  <c:v>-0.8910065241883679</c:v>
                </c:pt>
                <c:pt idx="298">
                  <c:v>-0.8829475928589271</c:v>
                </c:pt>
                <c:pt idx="299">
                  <c:v>-0.87461970713939563</c:v>
                </c:pt>
                <c:pt idx="300">
                  <c:v>-0.8660254037844386</c:v>
                </c:pt>
                <c:pt idx="301">
                  <c:v>-0.85716730070211233</c:v>
                </c:pt>
                <c:pt idx="302">
                  <c:v>-0.84804809615642618</c:v>
                </c:pt>
                <c:pt idx="303">
                  <c:v>-0.83867056794542427</c:v>
                </c:pt>
                <c:pt idx="304">
                  <c:v>-0.82903757255504162</c:v>
                </c:pt>
                <c:pt idx="305">
                  <c:v>-0.8191520442889918</c:v>
                </c:pt>
                <c:pt idx="306">
                  <c:v>-0.80901699437494756</c:v>
                </c:pt>
                <c:pt idx="307">
                  <c:v>-0.79863551004729305</c:v>
                </c:pt>
                <c:pt idx="308">
                  <c:v>-0.78801075360672179</c:v>
                </c:pt>
                <c:pt idx="309">
                  <c:v>-0.77714596145697079</c:v>
                </c:pt>
                <c:pt idx="310">
                  <c:v>-0.76604444311897812</c:v>
                </c:pt>
                <c:pt idx="311">
                  <c:v>-0.75470958022277224</c:v>
                </c:pt>
                <c:pt idx="312">
                  <c:v>-0.74314482547739458</c:v>
                </c:pt>
                <c:pt idx="313">
                  <c:v>-0.73135370161917035</c:v>
                </c:pt>
                <c:pt idx="314">
                  <c:v>-0.71933980033865119</c:v>
                </c:pt>
                <c:pt idx="315">
                  <c:v>-0.70710678118654768</c:v>
                </c:pt>
                <c:pt idx="316">
                  <c:v>-0.69465837045899759</c:v>
                </c:pt>
                <c:pt idx="317">
                  <c:v>-0.68199836006249825</c:v>
                </c:pt>
                <c:pt idx="318">
                  <c:v>-0.66913060635885813</c:v>
                </c:pt>
                <c:pt idx="319">
                  <c:v>-0.65605902899050739</c:v>
                </c:pt>
                <c:pt idx="320">
                  <c:v>-0.64278760968653958</c:v>
                </c:pt>
                <c:pt idx="321">
                  <c:v>-0.62932039104983784</c:v>
                </c:pt>
                <c:pt idx="322">
                  <c:v>-0.61566147532565818</c:v>
                </c:pt>
                <c:pt idx="323">
                  <c:v>-0.60181502315204827</c:v>
                </c:pt>
                <c:pt idx="324">
                  <c:v>-0.58778525229247336</c:v>
                </c:pt>
                <c:pt idx="325">
                  <c:v>-0.57357643635104649</c:v>
                </c:pt>
                <c:pt idx="326">
                  <c:v>-0.55919290347074657</c:v>
                </c:pt>
                <c:pt idx="327">
                  <c:v>-0.54463903501502697</c:v>
                </c:pt>
                <c:pt idx="328">
                  <c:v>-0.52991926423320501</c:v>
                </c:pt>
                <c:pt idx="329">
                  <c:v>-0.51503807491005449</c:v>
                </c:pt>
                <c:pt idx="330">
                  <c:v>-0.50000000000000044</c:v>
                </c:pt>
                <c:pt idx="331">
                  <c:v>-0.48480962024633689</c:v>
                </c:pt>
                <c:pt idx="332">
                  <c:v>-0.46947156278589081</c:v>
                </c:pt>
                <c:pt idx="333">
                  <c:v>-0.45399049973954697</c:v>
                </c:pt>
                <c:pt idx="334">
                  <c:v>-0.43837114678907779</c:v>
                </c:pt>
                <c:pt idx="335">
                  <c:v>-0.42261826174069922</c:v>
                </c:pt>
                <c:pt idx="336">
                  <c:v>-0.40673664307580015</c:v>
                </c:pt>
                <c:pt idx="337">
                  <c:v>-0.39073112848927388</c:v>
                </c:pt>
                <c:pt idx="338">
                  <c:v>-0.37460659341591235</c:v>
                </c:pt>
                <c:pt idx="339">
                  <c:v>-0.35836794954530077</c:v>
                </c:pt>
                <c:pt idx="340">
                  <c:v>-0.3420201433256686</c:v>
                </c:pt>
                <c:pt idx="341">
                  <c:v>-0.3255681544571567</c:v>
                </c:pt>
                <c:pt idx="342">
                  <c:v>-0.30901699437494762</c:v>
                </c:pt>
                <c:pt idx="343">
                  <c:v>-0.29237170472273716</c:v>
                </c:pt>
                <c:pt idx="344">
                  <c:v>-0.27563735581699894</c:v>
                </c:pt>
                <c:pt idx="345">
                  <c:v>-0.25881904510252068</c:v>
                </c:pt>
                <c:pt idx="346">
                  <c:v>-0.24192189559966787</c:v>
                </c:pt>
                <c:pt idx="347">
                  <c:v>-0.22495105434386534</c:v>
                </c:pt>
                <c:pt idx="348">
                  <c:v>-0.20791169081775987</c:v>
                </c:pt>
                <c:pt idx="349">
                  <c:v>-0.19080899537654467</c:v>
                </c:pt>
                <c:pt idx="350">
                  <c:v>-0.17364817766693039</c:v>
                </c:pt>
                <c:pt idx="351">
                  <c:v>-0.15643446504023112</c:v>
                </c:pt>
                <c:pt idx="352">
                  <c:v>-0.13917310096006588</c:v>
                </c:pt>
                <c:pt idx="353">
                  <c:v>-0.12186934340514723</c:v>
                </c:pt>
                <c:pt idx="354">
                  <c:v>-0.10452846326765342</c:v>
                </c:pt>
                <c:pt idx="355">
                  <c:v>-8.7155742747658319E-2</c:v>
                </c:pt>
                <c:pt idx="356">
                  <c:v>-6.9756473744125636E-2</c:v>
                </c:pt>
                <c:pt idx="357">
                  <c:v>-5.2335956242944369E-2</c:v>
                </c:pt>
                <c:pt idx="358">
                  <c:v>-3.4899496702500823E-2</c:v>
                </c:pt>
                <c:pt idx="359">
                  <c:v>-1.745240643728356E-2</c:v>
                </c:pt>
              </c:numCache>
            </c:numRef>
          </c:xVal>
          <c:yVal>
            <c:numRef>
              <c:f>Tabelle1!$N$309:$NI$309</c:f>
              <c:numCache>
                <c:formatCode>General</c:formatCode>
                <c:ptCount val="360"/>
                <c:pt idx="0">
                  <c:v>1</c:v>
                </c:pt>
                <c:pt idx="1">
                  <c:v>0.99984769515639127</c:v>
                </c:pt>
                <c:pt idx="2">
                  <c:v>0.99939082701909576</c:v>
                </c:pt>
                <c:pt idx="3">
                  <c:v>0.99862953475457383</c:v>
                </c:pt>
                <c:pt idx="4">
                  <c:v>0.9975640502598242</c:v>
                </c:pt>
                <c:pt idx="5">
                  <c:v>0.99619469809174555</c:v>
                </c:pt>
                <c:pt idx="6">
                  <c:v>0.99452189536827329</c:v>
                </c:pt>
                <c:pt idx="7">
                  <c:v>0.99254615164132198</c:v>
                </c:pt>
                <c:pt idx="8">
                  <c:v>0.99026806874157036</c:v>
                </c:pt>
                <c:pt idx="9">
                  <c:v>0.98768834059513777</c:v>
                </c:pt>
                <c:pt idx="10">
                  <c:v>0.98480775301220802</c:v>
                </c:pt>
                <c:pt idx="11">
                  <c:v>0.98162718344766398</c:v>
                </c:pt>
                <c:pt idx="12">
                  <c:v>0.97814760073380569</c:v>
                </c:pt>
                <c:pt idx="13">
                  <c:v>0.97437006478523525</c:v>
                </c:pt>
                <c:pt idx="14">
                  <c:v>0.97029572627599647</c:v>
                </c:pt>
                <c:pt idx="15">
                  <c:v>0.96592582628906831</c:v>
                </c:pt>
                <c:pt idx="16">
                  <c:v>0.96126169593831889</c:v>
                </c:pt>
                <c:pt idx="17">
                  <c:v>0.95630475596303544</c:v>
                </c:pt>
                <c:pt idx="18">
                  <c:v>0.95105651629515353</c:v>
                </c:pt>
                <c:pt idx="19">
                  <c:v>0.94551857559931685</c:v>
                </c:pt>
                <c:pt idx="20">
                  <c:v>0.93969262078590843</c:v>
                </c:pt>
                <c:pt idx="21">
                  <c:v>0.93358042649720174</c:v>
                </c:pt>
                <c:pt idx="22">
                  <c:v>0.92718385456678742</c:v>
                </c:pt>
                <c:pt idx="23">
                  <c:v>0.92050485345244037</c:v>
                </c:pt>
                <c:pt idx="24">
                  <c:v>0.91354545764260087</c:v>
                </c:pt>
                <c:pt idx="25">
                  <c:v>0.90630778703664994</c:v>
                </c:pt>
                <c:pt idx="26">
                  <c:v>0.89879404629916704</c:v>
                </c:pt>
                <c:pt idx="27">
                  <c:v>0.8910065241883679</c:v>
                </c:pt>
                <c:pt idx="28">
                  <c:v>0.88294759285892699</c:v>
                </c:pt>
                <c:pt idx="29">
                  <c:v>0.87461970713939574</c:v>
                </c:pt>
                <c:pt idx="30">
                  <c:v>0.86602540378443871</c:v>
                </c:pt>
                <c:pt idx="31">
                  <c:v>0.85716730070211233</c:v>
                </c:pt>
                <c:pt idx="32">
                  <c:v>0.84804809615642596</c:v>
                </c:pt>
                <c:pt idx="33">
                  <c:v>0.83867056794542405</c:v>
                </c:pt>
                <c:pt idx="34">
                  <c:v>0.82903757255504162</c:v>
                </c:pt>
                <c:pt idx="35">
                  <c:v>0.8191520442889918</c:v>
                </c:pt>
                <c:pt idx="36">
                  <c:v>0.80901699437494745</c:v>
                </c:pt>
                <c:pt idx="37">
                  <c:v>0.79863551004729283</c:v>
                </c:pt>
                <c:pt idx="38">
                  <c:v>0.7880107536067219</c:v>
                </c:pt>
                <c:pt idx="39">
                  <c:v>0.7771459614569709</c:v>
                </c:pt>
                <c:pt idx="40">
                  <c:v>0.76604444311897801</c:v>
                </c:pt>
                <c:pt idx="41">
                  <c:v>0.75470958022277201</c:v>
                </c:pt>
                <c:pt idx="42">
                  <c:v>0.74314482547739424</c:v>
                </c:pt>
                <c:pt idx="43">
                  <c:v>0.73135370161917046</c:v>
                </c:pt>
                <c:pt idx="44">
                  <c:v>0.71933980033865119</c:v>
                </c:pt>
                <c:pt idx="45">
                  <c:v>0.70710678118654757</c:v>
                </c:pt>
                <c:pt idx="46">
                  <c:v>0.69465837045899725</c:v>
                </c:pt>
                <c:pt idx="47">
                  <c:v>0.68199836006249848</c:v>
                </c:pt>
                <c:pt idx="48">
                  <c:v>0.66913060635885824</c:v>
                </c:pt>
                <c:pt idx="49">
                  <c:v>0.65605902899050728</c:v>
                </c:pt>
                <c:pt idx="50">
                  <c:v>0.64278760968653936</c:v>
                </c:pt>
                <c:pt idx="51">
                  <c:v>0.6293203910498375</c:v>
                </c:pt>
                <c:pt idx="52">
                  <c:v>0.61566147532565829</c:v>
                </c:pt>
                <c:pt idx="53">
                  <c:v>0.60181502315204838</c:v>
                </c:pt>
                <c:pt idx="54">
                  <c:v>0.58778525229247314</c:v>
                </c:pt>
                <c:pt idx="55">
                  <c:v>0.57357643635104616</c:v>
                </c:pt>
                <c:pt idx="56">
                  <c:v>0.55919290347074679</c:v>
                </c:pt>
                <c:pt idx="57">
                  <c:v>0.54463903501502708</c:v>
                </c:pt>
                <c:pt idx="58">
                  <c:v>0.5299192642332049</c:v>
                </c:pt>
                <c:pt idx="59">
                  <c:v>0.51503807491005416</c:v>
                </c:pt>
                <c:pt idx="60">
                  <c:v>0.50000000000000011</c:v>
                </c:pt>
                <c:pt idx="61">
                  <c:v>0.48480962024633711</c:v>
                </c:pt>
                <c:pt idx="62">
                  <c:v>0.46947156278589086</c:v>
                </c:pt>
                <c:pt idx="63">
                  <c:v>0.4539904997395468</c:v>
                </c:pt>
                <c:pt idx="64">
                  <c:v>0.43837114678907746</c:v>
                </c:pt>
                <c:pt idx="65">
                  <c:v>0.42261826174069944</c:v>
                </c:pt>
                <c:pt idx="66">
                  <c:v>0.40673664307580021</c:v>
                </c:pt>
                <c:pt idx="67">
                  <c:v>0.39073112848927372</c:v>
                </c:pt>
                <c:pt idx="68">
                  <c:v>0.37460659341591196</c:v>
                </c:pt>
                <c:pt idx="69">
                  <c:v>0.35836794954530038</c:v>
                </c:pt>
                <c:pt idx="70">
                  <c:v>0.34202014332566882</c:v>
                </c:pt>
                <c:pt idx="71">
                  <c:v>0.32556815445715676</c:v>
                </c:pt>
                <c:pt idx="72">
                  <c:v>0.30901699437494745</c:v>
                </c:pt>
                <c:pt idx="73">
                  <c:v>0.29237170472273677</c:v>
                </c:pt>
                <c:pt idx="74">
                  <c:v>0.27563735581699916</c:v>
                </c:pt>
                <c:pt idx="75">
                  <c:v>0.25881904510252074</c:v>
                </c:pt>
                <c:pt idx="76">
                  <c:v>0.24192189559966767</c:v>
                </c:pt>
                <c:pt idx="77">
                  <c:v>0.22495105434386492</c:v>
                </c:pt>
                <c:pt idx="78">
                  <c:v>0.20791169081775945</c:v>
                </c:pt>
                <c:pt idx="79">
                  <c:v>0.19080899537654492</c:v>
                </c:pt>
                <c:pt idx="80">
                  <c:v>0.17364817766693041</c:v>
                </c:pt>
                <c:pt idx="81">
                  <c:v>0.15643446504023092</c:v>
                </c:pt>
                <c:pt idx="82">
                  <c:v>0.13917310096006547</c:v>
                </c:pt>
                <c:pt idx="83">
                  <c:v>0.12186934340514749</c:v>
                </c:pt>
                <c:pt idx="84">
                  <c:v>0.10452846326765346</c:v>
                </c:pt>
                <c:pt idx="85">
                  <c:v>8.7155742747658138E-2</c:v>
                </c:pt>
                <c:pt idx="86">
                  <c:v>6.9756473744125233E-2</c:v>
                </c:pt>
                <c:pt idx="87">
                  <c:v>5.2335956242943966E-2</c:v>
                </c:pt>
                <c:pt idx="88">
                  <c:v>3.489949670250108E-2</c:v>
                </c:pt>
                <c:pt idx="89">
                  <c:v>1.7452406437283598E-2</c:v>
                </c:pt>
                <c:pt idx="90">
                  <c:v>6.1257422745431001E-17</c:v>
                </c:pt>
                <c:pt idx="91">
                  <c:v>-1.7452406437283477E-2</c:v>
                </c:pt>
                <c:pt idx="92">
                  <c:v>-3.4899496702500955E-2</c:v>
                </c:pt>
                <c:pt idx="93">
                  <c:v>-5.2335956242943842E-2</c:v>
                </c:pt>
                <c:pt idx="94">
                  <c:v>-6.975647374412533E-2</c:v>
                </c:pt>
                <c:pt idx="95">
                  <c:v>-8.7155742747658235E-2</c:v>
                </c:pt>
                <c:pt idx="96">
                  <c:v>-0.10452846326765355</c:v>
                </c:pt>
                <c:pt idx="97">
                  <c:v>-0.12186934340514737</c:v>
                </c:pt>
                <c:pt idx="98">
                  <c:v>-0.13917310096006535</c:v>
                </c:pt>
                <c:pt idx="99">
                  <c:v>-0.15643446504023081</c:v>
                </c:pt>
                <c:pt idx="100">
                  <c:v>-0.1736481776669303</c:v>
                </c:pt>
                <c:pt idx="101">
                  <c:v>-0.1908089953765448</c:v>
                </c:pt>
                <c:pt idx="102">
                  <c:v>-0.20791169081775934</c:v>
                </c:pt>
                <c:pt idx="103">
                  <c:v>-0.22495105434386503</c:v>
                </c:pt>
                <c:pt idx="104">
                  <c:v>-0.24192189559966779</c:v>
                </c:pt>
                <c:pt idx="105">
                  <c:v>-0.25881904510252085</c:v>
                </c:pt>
                <c:pt idx="106">
                  <c:v>-0.27563735581699905</c:v>
                </c:pt>
                <c:pt idx="107">
                  <c:v>-0.29237170472273666</c:v>
                </c:pt>
                <c:pt idx="108">
                  <c:v>-0.30901699437494734</c:v>
                </c:pt>
                <c:pt idx="109">
                  <c:v>-0.32556815445715664</c:v>
                </c:pt>
                <c:pt idx="110">
                  <c:v>-0.34202014332566871</c:v>
                </c:pt>
                <c:pt idx="111">
                  <c:v>-0.35836794954530027</c:v>
                </c:pt>
                <c:pt idx="112">
                  <c:v>-0.37460659341591207</c:v>
                </c:pt>
                <c:pt idx="113">
                  <c:v>-0.39073112848927377</c:v>
                </c:pt>
                <c:pt idx="114">
                  <c:v>-0.40673664307580026</c:v>
                </c:pt>
                <c:pt idx="115">
                  <c:v>-0.42261826174069933</c:v>
                </c:pt>
                <c:pt idx="116">
                  <c:v>-0.43837114678907751</c:v>
                </c:pt>
                <c:pt idx="117">
                  <c:v>-0.45399049973954669</c:v>
                </c:pt>
                <c:pt idx="118">
                  <c:v>-0.46947156278589092</c:v>
                </c:pt>
                <c:pt idx="119">
                  <c:v>-0.484809620246337</c:v>
                </c:pt>
                <c:pt idx="120">
                  <c:v>-0.49999999999999978</c:v>
                </c:pt>
                <c:pt idx="121">
                  <c:v>-0.51503807491005427</c:v>
                </c:pt>
                <c:pt idx="122">
                  <c:v>-0.52991926423320479</c:v>
                </c:pt>
                <c:pt idx="123">
                  <c:v>-0.54463903501502708</c:v>
                </c:pt>
                <c:pt idx="124">
                  <c:v>-0.55919290347074668</c:v>
                </c:pt>
                <c:pt idx="125">
                  <c:v>-0.57357643635104616</c:v>
                </c:pt>
                <c:pt idx="126">
                  <c:v>-0.58778525229247303</c:v>
                </c:pt>
                <c:pt idx="127">
                  <c:v>-0.60181502315204838</c:v>
                </c:pt>
                <c:pt idx="128">
                  <c:v>-0.61566147532565829</c:v>
                </c:pt>
                <c:pt idx="129">
                  <c:v>-0.62932039104983728</c:v>
                </c:pt>
                <c:pt idx="130">
                  <c:v>-0.64278760968653936</c:v>
                </c:pt>
                <c:pt idx="131">
                  <c:v>-0.65605902899050716</c:v>
                </c:pt>
                <c:pt idx="132">
                  <c:v>-0.66913060635885824</c:v>
                </c:pt>
                <c:pt idx="133">
                  <c:v>-0.68199836006249837</c:v>
                </c:pt>
                <c:pt idx="134">
                  <c:v>-0.69465837045899737</c:v>
                </c:pt>
                <c:pt idx="135">
                  <c:v>-0.70710678118654746</c:v>
                </c:pt>
                <c:pt idx="136">
                  <c:v>-0.71933980033865119</c:v>
                </c:pt>
                <c:pt idx="137">
                  <c:v>-0.73135370161917046</c:v>
                </c:pt>
                <c:pt idx="138">
                  <c:v>-0.74314482547739402</c:v>
                </c:pt>
                <c:pt idx="139">
                  <c:v>-0.75470958022277201</c:v>
                </c:pt>
                <c:pt idx="140">
                  <c:v>-0.7660444431189779</c:v>
                </c:pt>
                <c:pt idx="141">
                  <c:v>-0.7771459614569709</c:v>
                </c:pt>
                <c:pt idx="142">
                  <c:v>-0.7880107536067219</c:v>
                </c:pt>
                <c:pt idx="143">
                  <c:v>-0.79863551004729294</c:v>
                </c:pt>
                <c:pt idx="144">
                  <c:v>-0.80901699437494734</c:v>
                </c:pt>
                <c:pt idx="145">
                  <c:v>-0.81915204428899191</c:v>
                </c:pt>
                <c:pt idx="146">
                  <c:v>-0.82903757255504162</c:v>
                </c:pt>
                <c:pt idx="147">
                  <c:v>-0.83867056794542394</c:v>
                </c:pt>
                <c:pt idx="148">
                  <c:v>-0.84804809615642596</c:v>
                </c:pt>
                <c:pt idx="149">
                  <c:v>-0.85716730070211222</c:v>
                </c:pt>
                <c:pt idx="150">
                  <c:v>-0.86602540378443871</c:v>
                </c:pt>
                <c:pt idx="151">
                  <c:v>-0.87461970713939574</c:v>
                </c:pt>
                <c:pt idx="152">
                  <c:v>-0.88294759285892699</c:v>
                </c:pt>
                <c:pt idx="153">
                  <c:v>-0.89100652418836779</c:v>
                </c:pt>
                <c:pt idx="154">
                  <c:v>-0.89879404629916704</c:v>
                </c:pt>
                <c:pt idx="155">
                  <c:v>-0.90630778703664994</c:v>
                </c:pt>
                <c:pt idx="156">
                  <c:v>-0.91354545764260076</c:v>
                </c:pt>
                <c:pt idx="157">
                  <c:v>-0.92050485345244037</c:v>
                </c:pt>
                <c:pt idx="158">
                  <c:v>-0.92718385456678731</c:v>
                </c:pt>
                <c:pt idx="159">
                  <c:v>-0.93358042649720174</c:v>
                </c:pt>
                <c:pt idx="160">
                  <c:v>-0.93969262078590832</c:v>
                </c:pt>
                <c:pt idx="161">
                  <c:v>-0.94551857559931685</c:v>
                </c:pt>
                <c:pt idx="162">
                  <c:v>-0.95105651629515353</c:v>
                </c:pt>
                <c:pt idx="163">
                  <c:v>-0.95630475596303555</c:v>
                </c:pt>
                <c:pt idx="164">
                  <c:v>-0.96126169593831889</c:v>
                </c:pt>
                <c:pt idx="165">
                  <c:v>-0.9659258262890682</c:v>
                </c:pt>
                <c:pt idx="166">
                  <c:v>-0.97029572627599647</c:v>
                </c:pt>
                <c:pt idx="167">
                  <c:v>-0.97437006478523513</c:v>
                </c:pt>
                <c:pt idx="168">
                  <c:v>-0.97814760073380569</c:v>
                </c:pt>
                <c:pt idx="169">
                  <c:v>-0.98162718344766398</c:v>
                </c:pt>
                <c:pt idx="170">
                  <c:v>-0.98480775301220802</c:v>
                </c:pt>
                <c:pt idx="171">
                  <c:v>-0.98768834059513766</c:v>
                </c:pt>
                <c:pt idx="172">
                  <c:v>-0.99026806874157036</c:v>
                </c:pt>
                <c:pt idx="173">
                  <c:v>-0.99254615164132198</c:v>
                </c:pt>
                <c:pt idx="174">
                  <c:v>-0.99452189536827329</c:v>
                </c:pt>
                <c:pt idx="175">
                  <c:v>-0.99619469809174555</c:v>
                </c:pt>
                <c:pt idx="176">
                  <c:v>-0.9975640502598242</c:v>
                </c:pt>
                <c:pt idx="177">
                  <c:v>-0.99862953475457383</c:v>
                </c:pt>
                <c:pt idx="178">
                  <c:v>-0.99939082701909576</c:v>
                </c:pt>
                <c:pt idx="179">
                  <c:v>-0.99984769515639127</c:v>
                </c:pt>
                <c:pt idx="180">
                  <c:v>-1</c:v>
                </c:pt>
                <c:pt idx="181">
                  <c:v>-0.99984769515639127</c:v>
                </c:pt>
                <c:pt idx="182">
                  <c:v>-0.99939082701909576</c:v>
                </c:pt>
                <c:pt idx="183">
                  <c:v>-0.99862953475457383</c:v>
                </c:pt>
                <c:pt idx="184">
                  <c:v>-0.9975640502598242</c:v>
                </c:pt>
                <c:pt idx="185">
                  <c:v>-0.99619469809174555</c:v>
                </c:pt>
                <c:pt idx="186">
                  <c:v>-0.99452189536827329</c:v>
                </c:pt>
                <c:pt idx="187">
                  <c:v>-0.99254615164132209</c:v>
                </c:pt>
                <c:pt idx="188">
                  <c:v>-0.99026806874157025</c:v>
                </c:pt>
                <c:pt idx="189">
                  <c:v>-0.98768834059513777</c:v>
                </c:pt>
                <c:pt idx="190">
                  <c:v>-0.98480775301220802</c:v>
                </c:pt>
                <c:pt idx="191">
                  <c:v>-0.98162718344766398</c:v>
                </c:pt>
                <c:pt idx="192">
                  <c:v>-0.97814760073380558</c:v>
                </c:pt>
                <c:pt idx="193">
                  <c:v>-0.97437006478523525</c:v>
                </c:pt>
                <c:pt idx="194">
                  <c:v>-0.97029572627599647</c:v>
                </c:pt>
                <c:pt idx="195">
                  <c:v>-0.96592582628906831</c:v>
                </c:pt>
                <c:pt idx="196">
                  <c:v>-0.96126169593831889</c:v>
                </c:pt>
                <c:pt idx="197">
                  <c:v>-0.95630475596303544</c:v>
                </c:pt>
                <c:pt idx="198">
                  <c:v>-0.95105651629515364</c:v>
                </c:pt>
                <c:pt idx="199">
                  <c:v>-0.94551857559931674</c:v>
                </c:pt>
                <c:pt idx="200">
                  <c:v>-0.93969262078590843</c:v>
                </c:pt>
                <c:pt idx="201">
                  <c:v>-0.93358042649720174</c:v>
                </c:pt>
                <c:pt idx="202">
                  <c:v>-0.92718385456678742</c:v>
                </c:pt>
                <c:pt idx="203">
                  <c:v>-0.92050485345244037</c:v>
                </c:pt>
                <c:pt idx="204">
                  <c:v>-0.91354545764260087</c:v>
                </c:pt>
                <c:pt idx="205">
                  <c:v>-0.90630778703665005</c:v>
                </c:pt>
                <c:pt idx="206">
                  <c:v>-0.89879404629916693</c:v>
                </c:pt>
                <c:pt idx="207">
                  <c:v>-0.8910065241883679</c:v>
                </c:pt>
                <c:pt idx="208">
                  <c:v>-0.88294759285892688</c:v>
                </c:pt>
                <c:pt idx="209">
                  <c:v>-0.87461970713939585</c:v>
                </c:pt>
                <c:pt idx="210">
                  <c:v>-0.8660254037844386</c:v>
                </c:pt>
                <c:pt idx="211">
                  <c:v>-0.85716730070211233</c:v>
                </c:pt>
                <c:pt idx="212">
                  <c:v>-0.84804809615642607</c:v>
                </c:pt>
                <c:pt idx="213">
                  <c:v>-0.83867056794542405</c:v>
                </c:pt>
                <c:pt idx="214">
                  <c:v>-0.82903757255504185</c:v>
                </c:pt>
                <c:pt idx="215">
                  <c:v>-0.8191520442889918</c:v>
                </c:pt>
                <c:pt idx="216">
                  <c:v>-0.80901699437494756</c:v>
                </c:pt>
                <c:pt idx="217">
                  <c:v>-0.79863551004729283</c:v>
                </c:pt>
                <c:pt idx="218">
                  <c:v>-0.78801075360672201</c:v>
                </c:pt>
                <c:pt idx="219">
                  <c:v>-0.77714596145697079</c:v>
                </c:pt>
                <c:pt idx="220">
                  <c:v>-0.76604444311897801</c:v>
                </c:pt>
                <c:pt idx="221">
                  <c:v>-0.75470958022277213</c:v>
                </c:pt>
                <c:pt idx="222">
                  <c:v>-0.74314482547739424</c:v>
                </c:pt>
                <c:pt idx="223">
                  <c:v>-0.73135370161917057</c:v>
                </c:pt>
                <c:pt idx="224">
                  <c:v>-0.71933980033865108</c:v>
                </c:pt>
                <c:pt idx="225">
                  <c:v>-0.70710678118654768</c:v>
                </c:pt>
                <c:pt idx="226">
                  <c:v>-0.69465837045899725</c:v>
                </c:pt>
                <c:pt idx="227">
                  <c:v>-0.68199836006249859</c:v>
                </c:pt>
                <c:pt idx="228">
                  <c:v>-0.66913060635885813</c:v>
                </c:pt>
                <c:pt idx="229">
                  <c:v>-0.65605902899050728</c:v>
                </c:pt>
                <c:pt idx="230">
                  <c:v>-0.64278760968653947</c:v>
                </c:pt>
                <c:pt idx="231">
                  <c:v>-0.62932039104983784</c:v>
                </c:pt>
                <c:pt idx="232">
                  <c:v>-0.61566147532565807</c:v>
                </c:pt>
                <c:pt idx="233">
                  <c:v>-0.60181502315204827</c:v>
                </c:pt>
                <c:pt idx="234">
                  <c:v>-0.58778525229247325</c:v>
                </c:pt>
                <c:pt idx="235">
                  <c:v>-0.57357643635104638</c:v>
                </c:pt>
                <c:pt idx="236">
                  <c:v>-0.55919290347074657</c:v>
                </c:pt>
                <c:pt idx="237">
                  <c:v>-0.54463903501502697</c:v>
                </c:pt>
                <c:pt idx="238">
                  <c:v>-0.52991926423320501</c:v>
                </c:pt>
                <c:pt idx="239">
                  <c:v>-0.51503807491005449</c:v>
                </c:pt>
                <c:pt idx="240">
                  <c:v>-0.50000000000000044</c:v>
                </c:pt>
                <c:pt idx="241">
                  <c:v>-0.48480962024633684</c:v>
                </c:pt>
                <c:pt idx="242">
                  <c:v>-0.46947156278589075</c:v>
                </c:pt>
                <c:pt idx="243">
                  <c:v>-0.45399049973954692</c:v>
                </c:pt>
                <c:pt idx="244">
                  <c:v>-0.43837114678907774</c:v>
                </c:pt>
                <c:pt idx="245">
                  <c:v>-0.42261826174069916</c:v>
                </c:pt>
                <c:pt idx="246">
                  <c:v>-0.4067366430758001</c:v>
                </c:pt>
                <c:pt idx="247">
                  <c:v>-0.39073112848927383</c:v>
                </c:pt>
                <c:pt idx="248">
                  <c:v>-0.37460659341591229</c:v>
                </c:pt>
                <c:pt idx="249">
                  <c:v>-0.35836794954530071</c:v>
                </c:pt>
                <c:pt idx="250">
                  <c:v>-0.34202014332566855</c:v>
                </c:pt>
                <c:pt idx="251">
                  <c:v>-0.32556815445715664</c:v>
                </c:pt>
                <c:pt idx="252">
                  <c:v>-0.30901699437494756</c:v>
                </c:pt>
                <c:pt idx="253">
                  <c:v>-0.2923717047227371</c:v>
                </c:pt>
                <c:pt idx="254">
                  <c:v>-0.27563735581699889</c:v>
                </c:pt>
                <c:pt idx="255">
                  <c:v>-0.25881904510252063</c:v>
                </c:pt>
                <c:pt idx="256">
                  <c:v>-0.24192189559966779</c:v>
                </c:pt>
                <c:pt idx="257">
                  <c:v>-0.22495105434386525</c:v>
                </c:pt>
                <c:pt idx="258">
                  <c:v>-0.20791169081775979</c:v>
                </c:pt>
                <c:pt idx="259">
                  <c:v>-0.19080899537654461</c:v>
                </c:pt>
                <c:pt idx="260">
                  <c:v>-0.17364817766693033</c:v>
                </c:pt>
                <c:pt idx="261">
                  <c:v>-0.15643446504023104</c:v>
                </c:pt>
                <c:pt idx="262">
                  <c:v>-0.13917310096006583</c:v>
                </c:pt>
                <c:pt idx="263">
                  <c:v>-0.12186934340514717</c:v>
                </c:pt>
                <c:pt idx="264">
                  <c:v>-0.10452846326765336</c:v>
                </c:pt>
                <c:pt idx="265">
                  <c:v>-8.7155742747658249E-2</c:v>
                </c:pt>
                <c:pt idx="266">
                  <c:v>-6.975647374412558E-2</c:v>
                </c:pt>
                <c:pt idx="267">
                  <c:v>-5.2335956242944306E-2</c:v>
                </c:pt>
                <c:pt idx="268">
                  <c:v>-3.4899496702500761E-2</c:v>
                </c:pt>
                <c:pt idx="269">
                  <c:v>-1.7452406437283498E-2</c:v>
                </c:pt>
                <c:pt idx="270">
                  <c:v>-1.83772268236293E-16</c:v>
                </c:pt>
                <c:pt idx="271">
                  <c:v>1.745240643728313E-2</c:v>
                </c:pt>
                <c:pt idx="272">
                  <c:v>3.4899496702501281E-2</c:v>
                </c:pt>
                <c:pt idx="273">
                  <c:v>5.2335956242943946E-2</c:v>
                </c:pt>
                <c:pt idx="274">
                  <c:v>6.9756473744125219E-2</c:v>
                </c:pt>
                <c:pt idx="275">
                  <c:v>8.7155742747657888E-2</c:v>
                </c:pt>
                <c:pt idx="276">
                  <c:v>0.10452846326765299</c:v>
                </c:pt>
                <c:pt idx="277">
                  <c:v>0.12186934340514768</c:v>
                </c:pt>
                <c:pt idx="278">
                  <c:v>0.13917310096006547</c:v>
                </c:pt>
                <c:pt idx="279">
                  <c:v>0.15643446504023067</c:v>
                </c:pt>
                <c:pt idx="280">
                  <c:v>0.17364817766692997</c:v>
                </c:pt>
                <c:pt idx="281">
                  <c:v>0.19080899537654511</c:v>
                </c:pt>
                <c:pt idx="282">
                  <c:v>0.20791169081775943</c:v>
                </c:pt>
                <c:pt idx="283">
                  <c:v>0.22495105434386492</c:v>
                </c:pt>
                <c:pt idx="284">
                  <c:v>0.24192189559966745</c:v>
                </c:pt>
                <c:pt idx="285">
                  <c:v>0.2588190451025203</c:v>
                </c:pt>
                <c:pt idx="286">
                  <c:v>0.27563735581699939</c:v>
                </c:pt>
                <c:pt idx="287">
                  <c:v>0.29237170472273671</c:v>
                </c:pt>
                <c:pt idx="288">
                  <c:v>0.30901699437494723</c:v>
                </c:pt>
                <c:pt idx="289">
                  <c:v>0.32556815445715631</c:v>
                </c:pt>
                <c:pt idx="290">
                  <c:v>0.34202014332566899</c:v>
                </c:pt>
                <c:pt idx="291">
                  <c:v>0.35836794954530038</c:v>
                </c:pt>
                <c:pt idx="292">
                  <c:v>0.37460659341591196</c:v>
                </c:pt>
                <c:pt idx="293">
                  <c:v>0.39073112848927349</c:v>
                </c:pt>
                <c:pt idx="294">
                  <c:v>0.40673664307579976</c:v>
                </c:pt>
                <c:pt idx="295">
                  <c:v>0.42261826174069961</c:v>
                </c:pt>
                <c:pt idx="296">
                  <c:v>0.4383711467890774</c:v>
                </c:pt>
                <c:pt idx="297">
                  <c:v>0.45399049973954664</c:v>
                </c:pt>
                <c:pt idx="298">
                  <c:v>0.46947156278589042</c:v>
                </c:pt>
                <c:pt idx="299">
                  <c:v>0.48480962024633728</c:v>
                </c:pt>
                <c:pt idx="300">
                  <c:v>0.50000000000000011</c:v>
                </c:pt>
                <c:pt idx="301">
                  <c:v>0.51503807491005416</c:v>
                </c:pt>
                <c:pt idx="302">
                  <c:v>0.52991926423320468</c:v>
                </c:pt>
                <c:pt idx="303">
                  <c:v>0.54463903501502664</c:v>
                </c:pt>
                <c:pt idx="304">
                  <c:v>0.55919290347074702</c:v>
                </c:pt>
                <c:pt idx="305">
                  <c:v>0.57357643635104605</c:v>
                </c:pt>
                <c:pt idx="306">
                  <c:v>0.58778525229247292</c:v>
                </c:pt>
                <c:pt idx="307">
                  <c:v>0.60181502315204793</c:v>
                </c:pt>
                <c:pt idx="308">
                  <c:v>0.61566147532565851</c:v>
                </c:pt>
                <c:pt idx="309">
                  <c:v>0.6293203910498375</c:v>
                </c:pt>
                <c:pt idx="310">
                  <c:v>0.64278760968653925</c:v>
                </c:pt>
                <c:pt idx="311">
                  <c:v>0.65605902899050705</c:v>
                </c:pt>
                <c:pt idx="312">
                  <c:v>0.66913060635885779</c:v>
                </c:pt>
                <c:pt idx="313">
                  <c:v>0.68199836006249859</c:v>
                </c:pt>
                <c:pt idx="314">
                  <c:v>0.69465837045899725</c:v>
                </c:pt>
                <c:pt idx="315">
                  <c:v>0.70710678118654735</c:v>
                </c:pt>
                <c:pt idx="316">
                  <c:v>0.71933980033865086</c:v>
                </c:pt>
                <c:pt idx="317">
                  <c:v>0.73135370161917068</c:v>
                </c:pt>
                <c:pt idx="318">
                  <c:v>0.74314482547739424</c:v>
                </c:pt>
                <c:pt idx="319">
                  <c:v>0.7547095802227719</c:v>
                </c:pt>
                <c:pt idx="320">
                  <c:v>0.76604444311897779</c:v>
                </c:pt>
                <c:pt idx="321">
                  <c:v>0.77714596145697057</c:v>
                </c:pt>
                <c:pt idx="322">
                  <c:v>0.78801075360672201</c:v>
                </c:pt>
                <c:pt idx="323">
                  <c:v>0.79863551004729283</c:v>
                </c:pt>
                <c:pt idx="324">
                  <c:v>0.80901699437494734</c:v>
                </c:pt>
                <c:pt idx="325">
                  <c:v>0.81915204428899158</c:v>
                </c:pt>
                <c:pt idx="326">
                  <c:v>0.82903757255504185</c:v>
                </c:pt>
                <c:pt idx="327">
                  <c:v>0.83867056794542405</c:v>
                </c:pt>
                <c:pt idx="328">
                  <c:v>0.84804809615642596</c:v>
                </c:pt>
                <c:pt idx="329">
                  <c:v>0.85716730070211211</c:v>
                </c:pt>
                <c:pt idx="330">
                  <c:v>0.86602540378443837</c:v>
                </c:pt>
                <c:pt idx="331">
                  <c:v>0.87461970713939585</c:v>
                </c:pt>
                <c:pt idx="332">
                  <c:v>0.88294759285892688</c:v>
                </c:pt>
                <c:pt idx="333">
                  <c:v>0.89100652418836779</c:v>
                </c:pt>
                <c:pt idx="334">
                  <c:v>0.89879404629916682</c:v>
                </c:pt>
                <c:pt idx="335">
                  <c:v>0.90630778703665005</c:v>
                </c:pt>
                <c:pt idx="336">
                  <c:v>0.91354545764260098</c:v>
                </c:pt>
                <c:pt idx="337">
                  <c:v>0.92050485345244026</c:v>
                </c:pt>
                <c:pt idx="338">
                  <c:v>0.92718385456678731</c:v>
                </c:pt>
                <c:pt idx="339">
                  <c:v>0.93358042649720152</c:v>
                </c:pt>
                <c:pt idx="340">
                  <c:v>0.93969262078590843</c:v>
                </c:pt>
                <c:pt idx="341">
                  <c:v>0.94551857559931685</c:v>
                </c:pt>
                <c:pt idx="342">
                  <c:v>0.95105651629515353</c:v>
                </c:pt>
                <c:pt idx="343">
                  <c:v>0.95630475596303532</c:v>
                </c:pt>
                <c:pt idx="344">
                  <c:v>0.96126169593831889</c:v>
                </c:pt>
                <c:pt idx="345">
                  <c:v>0.96592582628906831</c:v>
                </c:pt>
                <c:pt idx="346">
                  <c:v>0.97029572627599647</c:v>
                </c:pt>
                <c:pt idx="347">
                  <c:v>0.97437006478523513</c:v>
                </c:pt>
                <c:pt idx="348">
                  <c:v>0.97814760073380558</c:v>
                </c:pt>
                <c:pt idx="349">
                  <c:v>0.98162718344766398</c:v>
                </c:pt>
                <c:pt idx="350">
                  <c:v>0.98480775301220802</c:v>
                </c:pt>
                <c:pt idx="351">
                  <c:v>0.98768834059513766</c:v>
                </c:pt>
                <c:pt idx="352">
                  <c:v>0.99026806874157025</c:v>
                </c:pt>
                <c:pt idx="353">
                  <c:v>0.99254615164132209</c:v>
                </c:pt>
                <c:pt idx="354">
                  <c:v>0.99452189536827329</c:v>
                </c:pt>
                <c:pt idx="355">
                  <c:v>0.99619469809174555</c:v>
                </c:pt>
                <c:pt idx="356">
                  <c:v>0.9975640502598242</c:v>
                </c:pt>
                <c:pt idx="357">
                  <c:v>0.99862953475457383</c:v>
                </c:pt>
                <c:pt idx="358">
                  <c:v>0.99939082701909576</c:v>
                </c:pt>
                <c:pt idx="359">
                  <c:v>0.99984769515639127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CD4-4738-9589-0E586FA43E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4989535"/>
        <c:axId val="1264980895"/>
      </c:scatterChart>
      <c:valAx>
        <c:axId val="12649895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264980895"/>
        <c:crosses val="autoZero"/>
        <c:crossBetween val="midCat"/>
      </c:valAx>
      <c:valAx>
        <c:axId val="12649808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2649895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Turn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(Tabelle1!$B$253:$J$253,Tabelle1!$B$253)</c:f>
              <c:numCache>
                <c:formatCode>General</c:formatCode>
                <c:ptCount val="10"/>
                <c:pt idx="0">
                  <c:v>-1</c:v>
                </c:pt>
                <c:pt idx="1">
                  <c:v>-1</c:v>
                </c:pt>
                <c:pt idx="2">
                  <c:v>1</c:v>
                </c:pt>
                <c:pt idx="3">
                  <c:v>1</c:v>
                </c:pt>
                <c:pt idx="4">
                  <c:v>-0.5</c:v>
                </c:pt>
                <c:pt idx="5">
                  <c:v>-0.5</c:v>
                </c:pt>
                <c:pt idx="6">
                  <c:v>0.5</c:v>
                </c:pt>
                <c:pt idx="7">
                  <c:v>0.5</c:v>
                </c:pt>
                <c:pt idx="8">
                  <c:v>0</c:v>
                </c:pt>
                <c:pt idx="9">
                  <c:v>-1</c:v>
                </c:pt>
              </c:numCache>
            </c:numRef>
          </c:xVal>
          <c:yVal>
            <c:numRef>
              <c:f>(Tabelle1!$B$254:$J$254,Tabelle1!$B$254)</c:f>
              <c:numCache>
                <c:formatCode>General</c:formatCode>
                <c:ptCount val="10"/>
                <c:pt idx="0">
                  <c:v>-1</c:v>
                </c:pt>
                <c:pt idx="1">
                  <c:v>1</c:v>
                </c:pt>
                <c:pt idx="2">
                  <c:v>-1</c:v>
                </c:pt>
                <c:pt idx="3">
                  <c:v>1</c:v>
                </c:pt>
                <c:pt idx="4">
                  <c:v>-0.5</c:v>
                </c:pt>
                <c:pt idx="5">
                  <c:v>0.5</c:v>
                </c:pt>
                <c:pt idx="6">
                  <c:v>-0.5</c:v>
                </c:pt>
                <c:pt idx="7">
                  <c:v>0.5</c:v>
                </c:pt>
                <c:pt idx="8">
                  <c:v>0</c:v>
                </c:pt>
                <c:pt idx="9">
                  <c:v>-1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9675-4DD2-AC9D-D440B13C9F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56611007"/>
        <c:axId val="934235663"/>
      </c:scatterChart>
      <c:valAx>
        <c:axId val="15566110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934235663"/>
        <c:crosses val="autoZero"/>
        <c:crossBetween val="midCat"/>
      </c:valAx>
      <c:valAx>
        <c:axId val="9342356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55661100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V1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Tabelle1!$AC$384:$BA$384</c:f>
              <c:numCache>
                <c:formatCode>General</c:formatCode>
                <c:ptCount val="25"/>
                <c:pt idx="0">
                  <c:v>2</c:v>
                </c:pt>
                <c:pt idx="1">
                  <c:v>0</c:v>
                </c:pt>
                <c:pt idx="2">
                  <c:v>-2</c:v>
                </c:pt>
                <c:pt idx="3">
                  <c:v>-1</c:v>
                </c:pt>
                <c:pt idx="4">
                  <c:v>-0.66666666666666663</c:v>
                </c:pt>
                <c:pt idx="5">
                  <c:v>1</c:v>
                </c:pt>
                <c:pt idx="6">
                  <c:v>0</c:v>
                </c:pt>
                <c:pt idx="7">
                  <c:v>-1</c:v>
                </c:pt>
                <c:pt idx="8">
                  <c:v>-0.5</c:v>
                </c:pt>
                <c:pt idx="9">
                  <c:v>-0.33333333333333331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-1</c:v>
                </c:pt>
                <c:pt idx="16">
                  <c:v>0</c:v>
                </c:pt>
                <c:pt idx="17">
                  <c:v>1</c:v>
                </c:pt>
                <c:pt idx="18">
                  <c:v>0.5</c:v>
                </c:pt>
                <c:pt idx="19">
                  <c:v>0.33333333333333331</c:v>
                </c:pt>
                <c:pt idx="20">
                  <c:v>-2</c:v>
                </c:pt>
                <c:pt idx="21">
                  <c:v>0</c:v>
                </c:pt>
                <c:pt idx="22">
                  <c:v>2</c:v>
                </c:pt>
                <c:pt idx="23">
                  <c:v>1</c:v>
                </c:pt>
                <c:pt idx="24">
                  <c:v>0.66666666666666663</c:v>
                </c:pt>
              </c:numCache>
            </c:numRef>
          </c:xVal>
          <c:yVal>
            <c:numRef>
              <c:f>Tabelle1!$AC$385:$BA$385</c:f>
              <c:numCache>
                <c:formatCode>General</c:formatCode>
                <c:ptCount val="25"/>
                <c:pt idx="0">
                  <c:v>-1</c:v>
                </c:pt>
                <c:pt idx="1">
                  <c:v>0</c:v>
                </c:pt>
                <c:pt idx="2">
                  <c:v>1</c:v>
                </c:pt>
                <c:pt idx="3">
                  <c:v>0.5</c:v>
                </c:pt>
                <c:pt idx="4">
                  <c:v>0.33333333333333331</c:v>
                </c:pt>
                <c:pt idx="5">
                  <c:v>-1</c:v>
                </c:pt>
                <c:pt idx="6">
                  <c:v>0</c:v>
                </c:pt>
                <c:pt idx="7">
                  <c:v>1</c:v>
                </c:pt>
                <c:pt idx="8">
                  <c:v>0.5</c:v>
                </c:pt>
                <c:pt idx="9">
                  <c:v>0.33333333333333331</c:v>
                </c:pt>
                <c:pt idx="10">
                  <c:v>-1</c:v>
                </c:pt>
                <c:pt idx="11">
                  <c:v>0</c:v>
                </c:pt>
                <c:pt idx="12">
                  <c:v>1</c:v>
                </c:pt>
                <c:pt idx="13">
                  <c:v>0.5</c:v>
                </c:pt>
                <c:pt idx="14">
                  <c:v>0.33333333333333331</c:v>
                </c:pt>
                <c:pt idx="15">
                  <c:v>-1</c:v>
                </c:pt>
                <c:pt idx="16">
                  <c:v>0</c:v>
                </c:pt>
                <c:pt idx="17">
                  <c:v>1</c:v>
                </c:pt>
                <c:pt idx="18">
                  <c:v>0.5</c:v>
                </c:pt>
                <c:pt idx="19">
                  <c:v>0.33333333333333331</c:v>
                </c:pt>
                <c:pt idx="20">
                  <c:v>-1</c:v>
                </c:pt>
                <c:pt idx="21">
                  <c:v>0</c:v>
                </c:pt>
                <c:pt idx="22">
                  <c:v>1</c:v>
                </c:pt>
                <c:pt idx="23">
                  <c:v>0.5</c:v>
                </c:pt>
                <c:pt idx="24">
                  <c:v>0.33333333333333331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D4D-44D5-B15D-AF343773C5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785551"/>
        <c:axId val="17792271"/>
      </c:scatterChart>
      <c:valAx>
        <c:axId val="17785551"/>
        <c:scaling>
          <c:orientation val="minMax"/>
          <c:max val="4"/>
          <c:min val="-4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7792271"/>
        <c:crosses val="autoZero"/>
        <c:crossBetween val="midCat"/>
      </c:valAx>
      <c:valAx>
        <c:axId val="17792271"/>
        <c:scaling>
          <c:orientation val="minMax"/>
          <c:max val="3"/>
          <c:min val="-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77855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9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/>
        </a:solidFill>
        <a:round/>
      </a:ln>
    </cs:spPr>
    <cs:defRPr sz="90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15</xdr:row>
      <xdr:rowOff>14286</xdr:rowOff>
    </xdr:from>
    <xdr:to>
      <xdr:col>5</xdr:col>
      <xdr:colOff>749245</xdr:colOff>
      <xdr:row>29</xdr:row>
      <xdr:rowOff>190499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EC0D0B85-E982-ACC0-A5E3-4E98C0D2BE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50</xdr:row>
      <xdr:rowOff>23811</xdr:rowOff>
    </xdr:from>
    <xdr:to>
      <xdr:col>5</xdr:col>
      <xdr:colOff>523875</xdr:colOff>
      <xdr:row>65</xdr:row>
      <xdr:rowOff>38100</xdr:rowOff>
    </xdr:to>
    <xdr:graphicFrame macro="">
      <xdr:nvGraphicFramePr>
        <xdr:cNvPr id="6" name="Diagramm 5">
          <a:extLst>
            <a:ext uri="{FF2B5EF4-FFF2-40B4-BE49-F238E27FC236}">
              <a16:creationId xmlns:a16="http://schemas.microsoft.com/office/drawing/2014/main" id="{0AA4859A-6EE4-B00B-7B86-31E71DC166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69</xdr:row>
      <xdr:rowOff>61912</xdr:rowOff>
    </xdr:from>
    <xdr:to>
      <xdr:col>5</xdr:col>
      <xdr:colOff>285750</xdr:colOff>
      <xdr:row>83</xdr:row>
      <xdr:rowOff>138112</xdr:rowOff>
    </xdr:to>
    <xdr:graphicFrame macro="">
      <xdr:nvGraphicFramePr>
        <xdr:cNvPr id="8" name="Diagramm 7">
          <a:extLst>
            <a:ext uri="{FF2B5EF4-FFF2-40B4-BE49-F238E27FC236}">
              <a16:creationId xmlns:a16="http://schemas.microsoft.com/office/drawing/2014/main" id="{9B2532FC-1660-BA11-0EBD-2FFF20E9F0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87</xdr:row>
      <xdr:rowOff>33337</xdr:rowOff>
    </xdr:from>
    <xdr:to>
      <xdr:col>5</xdr:col>
      <xdr:colOff>285750</xdr:colOff>
      <xdr:row>101</xdr:row>
      <xdr:rowOff>109537</xdr:rowOff>
    </xdr:to>
    <xdr:graphicFrame macro="">
      <xdr:nvGraphicFramePr>
        <xdr:cNvPr id="9" name="Diagramm 8">
          <a:extLst>
            <a:ext uri="{FF2B5EF4-FFF2-40B4-BE49-F238E27FC236}">
              <a16:creationId xmlns:a16="http://schemas.microsoft.com/office/drawing/2014/main" id="{87F5D948-AF41-408D-E4C1-DBB17A277A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188</xdr:row>
      <xdr:rowOff>0</xdr:rowOff>
    </xdr:from>
    <xdr:to>
      <xdr:col>6</xdr:col>
      <xdr:colOff>604629</xdr:colOff>
      <xdr:row>206</xdr:row>
      <xdr:rowOff>30440</xdr:rowOff>
    </xdr:to>
    <xdr:graphicFrame macro="">
      <xdr:nvGraphicFramePr>
        <xdr:cNvPr id="4" name="Diagramm 3">
          <a:extLst>
            <a:ext uri="{FF2B5EF4-FFF2-40B4-BE49-F238E27FC236}">
              <a16:creationId xmlns:a16="http://schemas.microsoft.com/office/drawing/2014/main" id="{8428046C-7552-459B-8CCC-79C0B0776E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0</xdr:colOff>
      <xdr:row>222</xdr:row>
      <xdr:rowOff>33131</xdr:rowOff>
    </xdr:from>
    <xdr:to>
      <xdr:col>6</xdr:col>
      <xdr:colOff>604629</xdr:colOff>
      <xdr:row>240</xdr:row>
      <xdr:rowOff>63571</xdr:rowOff>
    </xdr:to>
    <xdr:graphicFrame macro="">
      <xdr:nvGraphicFramePr>
        <xdr:cNvPr id="3" name="Diagramm 2">
          <a:extLst>
            <a:ext uri="{FF2B5EF4-FFF2-40B4-BE49-F238E27FC236}">
              <a16:creationId xmlns:a16="http://schemas.microsoft.com/office/drawing/2014/main" id="{CDC02CA7-B20E-4CF9-B815-256B4E5D6C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4</xdr:col>
      <xdr:colOff>315311</xdr:colOff>
      <xdr:row>254</xdr:row>
      <xdr:rowOff>34488</xdr:rowOff>
    </xdr:from>
    <xdr:to>
      <xdr:col>11</xdr:col>
      <xdr:colOff>307731</xdr:colOff>
      <xdr:row>273</xdr:row>
      <xdr:rowOff>157655</xdr:rowOff>
    </xdr:to>
    <xdr:graphicFrame macro="">
      <xdr:nvGraphicFramePr>
        <xdr:cNvPr id="5" name="Diagramm 4">
          <a:extLst>
            <a:ext uri="{FF2B5EF4-FFF2-40B4-BE49-F238E27FC236}">
              <a16:creationId xmlns:a16="http://schemas.microsoft.com/office/drawing/2014/main" id="{80675F36-3BBA-4C64-A3FC-B47E7BB041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0</xdr:colOff>
      <xdr:row>287</xdr:row>
      <xdr:rowOff>24848</xdr:rowOff>
    </xdr:from>
    <xdr:to>
      <xdr:col>6</xdr:col>
      <xdr:colOff>604629</xdr:colOff>
      <xdr:row>304</xdr:row>
      <xdr:rowOff>0</xdr:rowOff>
    </xdr:to>
    <xdr:graphicFrame macro="">
      <xdr:nvGraphicFramePr>
        <xdr:cNvPr id="11" name="Diagramm 10">
          <a:extLst>
            <a:ext uri="{FF2B5EF4-FFF2-40B4-BE49-F238E27FC236}">
              <a16:creationId xmlns:a16="http://schemas.microsoft.com/office/drawing/2014/main" id="{0DFA820A-E72E-457B-B6A8-E689664E5C1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2</xdr:colOff>
      <xdr:row>254</xdr:row>
      <xdr:rowOff>23811</xdr:rowOff>
    </xdr:from>
    <xdr:to>
      <xdr:col>4</xdr:col>
      <xdr:colOff>262759</xdr:colOff>
      <xdr:row>273</xdr:row>
      <xdr:rowOff>152400</xdr:rowOff>
    </xdr:to>
    <xdr:graphicFrame macro="">
      <xdr:nvGraphicFramePr>
        <xdr:cNvPr id="13" name="Diagramm 12">
          <a:extLst>
            <a:ext uri="{FF2B5EF4-FFF2-40B4-BE49-F238E27FC236}">
              <a16:creationId xmlns:a16="http://schemas.microsoft.com/office/drawing/2014/main" id="{7EE09F42-A207-AE1A-041A-7CF99C9C81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18318</xdr:colOff>
      <xdr:row>309</xdr:row>
      <xdr:rowOff>42497</xdr:rowOff>
    </xdr:from>
    <xdr:to>
      <xdr:col>3</xdr:col>
      <xdr:colOff>307730</xdr:colOff>
      <xdr:row>323</xdr:row>
      <xdr:rowOff>118697</xdr:rowOff>
    </xdr:to>
    <xdr:graphicFrame macro="">
      <xdr:nvGraphicFramePr>
        <xdr:cNvPr id="7" name="Diagramm 6">
          <a:extLst>
            <a:ext uri="{FF2B5EF4-FFF2-40B4-BE49-F238E27FC236}">
              <a16:creationId xmlns:a16="http://schemas.microsoft.com/office/drawing/2014/main" id="{C371851A-F415-8595-A3E1-75EA9F6E94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2</xdr:col>
      <xdr:colOff>7327</xdr:colOff>
      <xdr:row>324</xdr:row>
      <xdr:rowOff>183174</xdr:rowOff>
    </xdr:from>
    <xdr:to>
      <xdr:col>8</xdr:col>
      <xdr:colOff>670035</xdr:colOff>
      <xdr:row>335</xdr:row>
      <xdr:rowOff>7326</xdr:rowOff>
    </xdr:to>
    <xdr:graphicFrame macro="">
      <xdr:nvGraphicFramePr>
        <xdr:cNvPr id="12" name="Diagramm 11">
          <a:extLst>
            <a:ext uri="{FF2B5EF4-FFF2-40B4-BE49-F238E27FC236}">
              <a16:creationId xmlns:a16="http://schemas.microsoft.com/office/drawing/2014/main" id="{78F2480D-DD47-B0B1-94FC-7AC53C813B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0</xdr:col>
      <xdr:colOff>2</xdr:colOff>
      <xdr:row>125</xdr:row>
      <xdr:rowOff>595</xdr:rowOff>
    </xdr:from>
    <xdr:to>
      <xdr:col>4</xdr:col>
      <xdr:colOff>463669</xdr:colOff>
      <xdr:row>139</xdr:row>
      <xdr:rowOff>76795</xdr:rowOff>
    </xdr:to>
    <xdr:graphicFrame macro="">
      <xdr:nvGraphicFramePr>
        <xdr:cNvPr id="15" name="Diagramm 14">
          <a:extLst>
            <a:ext uri="{FF2B5EF4-FFF2-40B4-BE49-F238E27FC236}">
              <a16:creationId xmlns:a16="http://schemas.microsoft.com/office/drawing/2014/main" id="{EF100EA1-19AB-23C8-B86E-36D744BEE1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0</xdr:colOff>
      <xdr:row>389</xdr:row>
      <xdr:rowOff>36444</xdr:rowOff>
    </xdr:from>
    <xdr:to>
      <xdr:col>3</xdr:col>
      <xdr:colOff>728869</xdr:colOff>
      <xdr:row>403</xdr:row>
      <xdr:rowOff>112644</xdr:rowOff>
    </xdr:to>
    <xdr:graphicFrame macro="">
      <xdr:nvGraphicFramePr>
        <xdr:cNvPr id="17" name="Diagramm 16">
          <a:extLst>
            <a:ext uri="{FF2B5EF4-FFF2-40B4-BE49-F238E27FC236}">
              <a16:creationId xmlns:a16="http://schemas.microsoft.com/office/drawing/2014/main" id="{3BB1AB7B-628E-FC3C-2D5C-08A77BFB9C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13</xdr:col>
      <xdr:colOff>12423</xdr:colOff>
      <xdr:row>308</xdr:row>
      <xdr:rowOff>185530</xdr:rowOff>
    </xdr:from>
    <xdr:to>
      <xdr:col>16</xdr:col>
      <xdr:colOff>198783</xdr:colOff>
      <xdr:row>323</xdr:row>
      <xdr:rowOff>71230</xdr:rowOff>
    </xdr:to>
    <xdr:graphicFrame macro="">
      <xdr:nvGraphicFramePr>
        <xdr:cNvPr id="18" name="Diagramm 17">
          <a:extLst>
            <a:ext uri="{FF2B5EF4-FFF2-40B4-BE49-F238E27FC236}">
              <a16:creationId xmlns:a16="http://schemas.microsoft.com/office/drawing/2014/main" id="{E5F23940-764D-E195-3722-6A309DF57C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10</xdr:col>
      <xdr:colOff>45554</xdr:colOff>
      <xdr:row>240</xdr:row>
      <xdr:rowOff>86139</xdr:rowOff>
    </xdr:from>
    <xdr:to>
      <xdr:col>15</xdr:col>
      <xdr:colOff>534228</xdr:colOff>
      <xdr:row>254</xdr:row>
      <xdr:rowOff>145774</xdr:rowOff>
    </xdr:to>
    <xdr:graphicFrame macro="">
      <xdr:nvGraphicFramePr>
        <xdr:cNvPr id="19" name="Diagramm 18">
          <a:extLst>
            <a:ext uri="{FF2B5EF4-FFF2-40B4-BE49-F238E27FC236}">
              <a16:creationId xmlns:a16="http://schemas.microsoft.com/office/drawing/2014/main" id="{C697DD85-2515-21F6-31A0-2FA7415413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27</xdr:col>
      <xdr:colOff>0</xdr:colOff>
      <xdr:row>385</xdr:row>
      <xdr:rowOff>36444</xdr:rowOff>
    </xdr:from>
    <xdr:to>
      <xdr:col>30</xdr:col>
      <xdr:colOff>861391</xdr:colOff>
      <xdr:row>399</xdr:row>
      <xdr:rowOff>112644</xdr:rowOff>
    </xdr:to>
    <xdr:graphicFrame macro="">
      <xdr:nvGraphicFramePr>
        <xdr:cNvPr id="10" name="Diagramm 9">
          <a:extLst>
            <a:ext uri="{FF2B5EF4-FFF2-40B4-BE49-F238E27FC236}">
              <a16:creationId xmlns:a16="http://schemas.microsoft.com/office/drawing/2014/main" id="{52B55580-E6B3-E9C2-8F84-62961D1E48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iegel, Louis (SMP)" refreshedDate="45616.691346180553" createdVersion="8" refreshedVersion="8" minRefreshableVersion="3" recordCount="21" xr:uid="{3B065415-21D1-495A-BF23-9F44DE4805A0}">
  <cacheSource type="worksheet">
    <worksheetSource name="Tabelle12"/>
  </cacheSource>
  <cacheFields count="7">
    <cacheField name="Item" numFmtId="0">
      <sharedItems count="6">
        <s v="Fancy Fedora"/>
        <s v="Dovakin"/>
        <s v="Team Captain"/>
        <s v="Well-Rounded Rifleman"/>
        <s v="Soldier Stash"/>
        <s v="Antlers"/>
      </sharedItems>
    </cacheField>
    <cacheField name="Strange" numFmtId="0">
      <sharedItems/>
    </cacheField>
    <cacheField name="Unusual" numFmtId="0">
      <sharedItems count="12">
        <s v="Burning Flames"/>
        <s v="Scorching Flames"/>
        <s v="Pulsating Plasma"/>
        <s v="Smoking"/>
        <s v="Steaming"/>
        <s v="Aces High"/>
        <s v="Tesla Coil"/>
        <s v="Orbiting Plantes"/>
        <s v="Kill A Watt"/>
        <s v="Terror Watt"/>
        <s v="Blizzard"/>
        <s v="Hellfire"/>
      </sharedItems>
    </cacheField>
    <cacheField name="Killstreak" numFmtId="0">
      <sharedItems count="4">
        <s v="Basic"/>
        <s v="Specialized"/>
        <s v="N/A"/>
        <s v="Professional"/>
      </sharedItems>
    </cacheField>
    <cacheField name="Paint" numFmtId="0">
      <sharedItems/>
    </cacheField>
    <cacheField name="Level" numFmtId="0">
      <sharedItems containsSemiMixedTypes="0" containsString="0" containsNumber="1" containsInteger="1" minValue="1" maxValue="100"/>
    </cacheField>
    <cacheField name="Price" numFmtId="165">
      <sharedItems containsSemiMixedTypes="0" containsString="0" containsNumber="1" containsInteger="1" minValue="300" maxValue="25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">
  <r>
    <x v="0"/>
    <s v="Yes"/>
    <x v="0"/>
    <x v="0"/>
    <s v="N/A"/>
    <n v="23"/>
    <n v="1000"/>
  </r>
  <r>
    <x v="0"/>
    <s v="No"/>
    <x v="1"/>
    <x v="1"/>
    <s v="Lime"/>
    <n v="66"/>
    <n v="2500"/>
  </r>
  <r>
    <x v="0"/>
    <s v="No"/>
    <x v="1"/>
    <x v="2"/>
    <s v="Slate"/>
    <n v="12"/>
    <n v="2000"/>
  </r>
  <r>
    <x v="0"/>
    <s v="Yes"/>
    <x v="2"/>
    <x v="2"/>
    <s v="Greed"/>
    <n v="44"/>
    <n v="1500"/>
  </r>
  <r>
    <x v="1"/>
    <s v="Yes"/>
    <x v="3"/>
    <x v="3"/>
    <s v="N/A"/>
    <n v="99"/>
    <n v="300"/>
  </r>
  <r>
    <x v="1"/>
    <s v="No"/>
    <x v="4"/>
    <x v="2"/>
    <s v="Rustic"/>
    <n v="56"/>
    <n v="400"/>
  </r>
  <r>
    <x v="2"/>
    <s v="Yes"/>
    <x v="0"/>
    <x v="3"/>
    <s v="Team Spirit"/>
    <n v="100"/>
    <n v="15000"/>
  </r>
  <r>
    <x v="2"/>
    <s v="Yes"/>
    <x v="0"/>
    <x v="1"/>
    <s v="N/A"/>
    <n v="25"/>
    <n v="12000"/>
  </r>
  <r>
    <x v="2"/>
    <s v="Yes"/>
    <x v="1"/>
    <x v="3"/>
    <s v="N/A"/>
    <n v="1"/>
    <n v="9000"/>
  </r>
  <r>
    <x v="3"/>
    <s v="Yes"/>
    <x v="1"/>
    <x v="2"/>
    <s v="Lime"/>
    <n v="66"/>
    <n v="6600"/>
  </r>
  <r>
    <x v="3"/>
    <s v="Yes"/>
    <x v="5"/>
    <x v="0"/>
    <s v="Team Spirit"/>
    <n v="55"/>
    <n v="5500"/>
  </r>
  <r>
    <x v="3"/>
    <s v="Yes"/>
    <x v="6"/>
    <x v="3"/>
    <s v="Olive"/>
    <n v="44"/>
    <n v="4400"/>
  </r>
  <r>
    <x v="3"/>
    <s v="Yes"/>
    <x v="7"/>
    <x v="0"/>
    <s v="Olive"/>
    <n v="33"/>
    <n v="3300"/>
  </r>
  <r>
    <x v="3"/>
    <s v="No"/>
    <x v="8"/>
    <x v="2"/>
    <s v="Olive"/>
    <n v="22"/>
    <n v="2200"/>
  </r>
  <r>
    <x v="3"/>
    <s v="No"/>
    <x v="9"/>
    <x v="0"/>
    <s v="Slate"/>
    <n v="11"/>
    <n v="1100"/>
  </r>
  <r>
    <x v="4"/>
    <s v="Yes"/>
    <x v="10"/>
    <x v="0"/>
    <s v="Greed"/>
    <n v="75"/>
    <n v="3200"/>
  </r>
  <r>
    <x v="5"/>
    <s v="Yes"/>
    <x v="10"/>
    <x v="2"/>
    <s v="N/A"/>
    <n v="45"/>
    <n v="10000"/>
  </r>
  <r>
    <x v="5"/>
    <s v="Yes"/>
    <x v="8"/>
    <x v="1"/>
    <s v="Slate"/>
    <n v="10"/>
    <n v="25000"/>
  </r>
  <r>
    <x v="5"/>
    <s v="No"/>
    <x v="0"/>
    <x v="2"/>
    <s v="N/A"/>
    <n v="27"/>
    <n v="20000"/>
  </r>
  <r>
    <x v="5"/>
    <s v="No"/>
    <x v="11"/>
    <x v="3"/>
    <s v="N/A"/>
    <n v="72"/>
    <n v="15000"/>
  </r>
  <r>
    <x v="5"/>
    <s v="No"/>
    <x v="11"/>
    <x v="0"/>
    <s v="Greed"/>
    <n v="89"/>
    <n v="10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3C9857E-FE88-4A19-A3A2-755823C7308D}" name="PivotTable2" cacheId="0" applyNumberFormats="0" applyBorderFormats="0" applyFontFormats="0" applyPatternFormats="0" applyAlignmentFormats="0" applyWidthHeightFormats="1" dataCaption="Werte" updatedVersion="8" minRefreshableVersion="3" useAutoFormatting="1" itemPrintTitles="1" createdVersion="8" indent="0" outline="1" outlineData="1" multipleFieldFilters="0">
  <location ref="A469:H503" firstHeaderRow="1" firstDataRow="2" firstDataCol="1"/>
  <pivotFields count="7">
    <pivotField axis="axisCol" showAll="0">
      <items count="7">
        <item x="5"/>
        <item x="1"/>
        <item x="0"/>
        <item x="4"/>
        <item x="2"/>
        <item x="3"/>
        <item t="default"/>
      </items>
    </pivotField>
    <pivotField showAll="0"/>
    <pivotField axis="axisRow" showAll="0">
      <items count="13">
        <item x="5"/>
        <item x="10"/>
        <item x="0"/>
        <item x="11"/>
        <item x="8"/>
        <item x="7"/>
        <item x="2"/>
        <item x="1"/>
        <item x="3"/>
        <item x="4"/>
        <item x="9"/>
        <item x="6"/>
        <item t="default"/>
      </items>
    </pivotField>
    <pivotField axis="axisRow" showAll="0">
      <items count="5">
        <item x="0"/>
        <item x="2"/>
        <item x="3"/>
        <item x="1"/>
        <item t="default"/>
      </items>
    </pivotField>
    <pivotField showAll="0"/>
    <pivotField showAll="0"/>
    <pivotField dataField="1" numFmtId="165" showAll="0"/>
  </pivotFields>
  <rowFields count="2">
    <field x="2"/>
    <field x="3"/>
  </rowFields>
  <rowItems count="33">
    <i>
      <x/>
    </i>
    <i r="1">
      <x/>
    </i>
    <i>
      <x v="1"/>
    </i>
    <i r="1">
      <x/>
    </i>
    <i r="1">
      <x v="1"/>
    </i>
    <i>
      <x v="2"/>
    </i>
    <i r="1">
      <x/>
    </i>
    <i r="1">
      <x v="1"/>
    </i>
    <i r="1">
      <x v="2"/>
    </i>
    <i r="1">
      <x v="3"/>
    </i>
    <i>
      <x v="3"/>
    </i>
    <i r="1">
      <x/>
    </i>
    <i r="1">
      <x v="2"/>
    </i>
    <i>
      <x v="4"/>
    </i>
    <i r="1">
      <x v="1"/>
    </i>
    <i r="1">
      <x v="3"/>
    </i>
    <i>
      <x v="5"/>
    </i>
    <i r="1">
      <x/>
    </i>
    <i>
      <x v="6"/>
    </i>
    <i r="1">
      <x v="1"/>
    </i>
    <i>
      <x v="7"/>
    </i>
    <i r="1">
      <x v="1"/>
    </i>
    <i r="1">
      <x v="2"/>
    </i>
    <i r="1">
      <x v="3"/>
    </i>
    <i>
      <x v="8"/>
    </i>
    <i r="1">
      <x v="2"/>
    </i>
    <i>
      <x v="9"/>
    </i>
    <i r="1">
      <x v="1"/>
    </i>
    <i>
      <x v="10"/>
    </i>
    <i r="1">
      <x/>
    </i>
    <i>
      <x v="11"/>
    </i>
    <i r="1">
      <x v="2"/>
    </i>
    <i t="grand">
      <x/>
    </i>
  </rowItems>
  <colFields count="1">
    <field x="0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Summe von Price" fld="6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CA4A1AE-6961-4341-99C6-AAC19BD4C02D}" name="Tabelle1" displayName="Tabelle1" ref="A2:M14" totalsRowCount="1">
  <autoFilter ref="A2:M13" xr:uid="{0CA4A1AE-6961-4341-99C6-AAC19BD4C02D}"/>
  <tableColumns count="13">
    <tableColumn id="1" xr3:uid="{7225A53C-5E20-4069-B290-A9E51ADD07B6}" name="Haushalt" totalsRowLabel="Ergebnis"/>
    <tableColumn id="2" xr3:uid="{93DBD49B-405D-4689-9722-C61A1F25149C}" name="Jan" dataDxfId="28"/>
    <tableColumn id="3" xr3:uid="{16576ABA-6563-481C-9945-7174B9AC0506}" name="Feb" dataDxfId="27"/>
    <tableColumn id="4" xr3:uid="{443A69E8-7B94-4C7F-B744-9AD4DA21DF65}" name="Mär" dataDxfId="26"/>
    <tableColumn id="5" xr3:uid="{9215DBCA-1CAA-4B0F-9AE5-4DAA17E5A7EF}" name="Apr" dataDxfId="25"/>
    <tableColumn id="6" xr3:uid="{023F1B62-4A73-49C2-BDAD-67A5A054633C}" name="Mai" dataDxfId="24"/>
    <tableColumn id="7" xr3:uid="{1896FB9E-CAFF-4852-9E0D-1EC431BE5057}" name="Jun" dataDxfId="23"/>
    <tableColumn id="8" xr3:uid="{A053052A-0CA1-4071-83C0-612C56A1CB43}" name="Jul" dataDxfId="22"/>
    <tableColumn id="9" xr3:uid="{0C1C6B53-45C5-4920-A333-967F287D88E6}" name="Aug" dataDxfId="21"/>
    <tableColumn id="10" xr3:uid="{3EC69A0A-C910-4257-9C8E-F00DCFB31E8D}" name="Sep" dataDxfId="20"/>
    <tableColumn id="11" xr3:uid="{9F1CE23B-7B59-44FA-9085-EF6EFC5634AF}" name="Okt" totalsRowFunction="max" dataDxfId="19" totalsRowDxfId="18"/>
    <tableColumn id="12" xr3:uid="{14716344-0F29-40AC-BB22-AD5B7DA8EEB7}" name="Nov" totalsRowFunction="sum" dataDxfId="17" totalsRowDxfId="16"/>
    <tableColumn id="13" xr3:uid="{B8536B22-86ED-47EE-8769-A74FA49753E8}" name="Dez" totalsRowFunction="sum" dataDxfId="15" totalsRowDxfId="1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B02256E-EC3D-4954-944A-942CFF004253}" name="Tabelle2" displayName="Tabelle2" ref="A32:M46" totalsRowShown="0" headerRowDxfId="13">
  <autoFilter ref="A32:M46" xr:uid="{3B02256E-EC3D-4954-944A-942CFF004253}"/>
  <tableColumns count="13">
    <tableColumn id="1" xr3:uid="{541532E1-EC61-48DB-8F4E-697609993239}" name="MH Gesselschaft"/>
    <tableColumn id="2" xr3:uid="{31FFD878-4ED3-48F2-ABDA-58AA3200FC64}" name="Jan 1905" dataDxfId="12"/>
    <tableColumn id="3" xr3:uid="{ACF38DF8-2F37-4AEF-A7FA-81C9FFA9F435}" name="Feb 1905" dataDxfId="11"/>
    <tableColumn id="4" xr3:uid="{4C34F398-3AC4-48DF-80F3-B761AE687679}" name="Mrz 1905" dataDxfId="10"/>
    <tableColumn id="5" xr3:uid="{64E9A32E-2CDA-4609-96D2-81F12E5D2D65}" name="Apr 1905" dataDxfId="9"/>
    <tableColumn id="6" xr3:uid="{0BB8AD18-9A59-4F2E-9ED5-A153A6EB9ED0}" name="Mai 1905" dataDxfId="8"/>
    <tableColumn id="7" xr3:uid="{00600E14-0A86-4514-9CEF-8145CFA26B66}" name="Jun 1905" dataDxfId="7"/>
    <tableColumn id="8" xr3:uid="{2F1B9E8C-D039-40BE-8BE9-6E89F67BD31A}" name="Jul 1905" dataDxfId="6"/>
    <tableColumn id="9" xr3:uid="{952813CF-FC0A-484A-8582-C99F0FD59ABF}" name="Aug 1905" dataDxfId="5"/>
    <tableColumn id="10" xr3:uid="{3BFB0E14-F580-4022-A1A1-77F7D3CF6040}" name="Sep 1905" dataDxfId="4"/>
    <tableColumn id="11" xr3:uid="{91DC8419-5D03-44E8-97B7-FD0B6DA5A446}" name="Okt 1905" dataDxfId="3"/>
    <tableColumn id="12" xr3:uid="{C3E3A907-F7B1-4825-B268-1737947993E2}" name="Nov 1905" dataDxfId="2"/>
    <tableColumn id="13" xr3:uid="{A347B2BE-07BA-4E7C-ADCC-9FF4D56F1C5D}" name="Dez 1905" dataDxfId="1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A1829DA-8927-4202-9096-581BBFD339B0}" name="Tabelle3" displayName="Tabelle3" ref="A48:V50" totalsRowShown="0">
  <autoFilter ref="A48:V50" xr:uid="{1A1829DA-8927-4202-9096-581BBFD339B0}"/>
  <tableColumns count="22">
    <tableColumn id="1" xr3:uid="{6A96597B-1999-4B52-9313-82890A8C5BE2}" name="Spalte1"/>
    <tableColumn id="2" xr3:uid="{28E1BAE7-B532-49DA-A0DE-3FC327528168}" name="Spalte2">
      <calculatedColumnFormula>B48^2</calculatedColumnFormula>
    </tableColumn>
    <tableColumn id="3" xr3:uid="{5A505325-4C5F-4134-A498-252B3522223D}" name="Spalte3">
      <calculatedColumnFormula>C48^2</calculatedColumnFormula>
    </tableColumn>
    <tableColumn id="4" xr3:uid="{07474942-4762-4F8C-8EE7-FA6BA6DEBE57}" name="Spalte4">
      <calculatedColumnFormula>D48^2</calculatedColumnFormula>
    </tableColumn>
    <tableColumn id="5" xr3:uid="{494D9380-7148-47CF-8556-E1506CFD9886}" name="Spalte5">
      <calculatedColumnFormula>E48^2</calculatedColumnFormula>
    </tableColumn>
    <tableColumn id="6" xr3:uid="{775ADF35-3586-43BD-970C-DBED7171B2C6}" name="Spalte6">
      <calculatedColumnFormula>F48^2</calculatedColumnFormula>
    </tableColumn>
    <tableColumn id="7" xr3:uid="{ED6B2852-2ECA-49A4-BFB1-168A2A851C8B}" name="Spalte7">
      <calculatedColumnFormula>G48^2</calculatedColumnFormula>
    </tableColumn>
    <tableColumn id="8" xr3:uid="{3DA0D425-DAD2-45FB-B98E-F5ECEDE878B0}" name="Spalte8">
      <calculatedColumnFormula>H48^2</calculatedColumnFormula>
    </tableColumn>
    <tableColumn id="9" xr3:uid="{AA17F20F-9863-409D-9557-226D26667824}" name="Spalte9">
      <calculatedColumnFormula>I48^2</calculatedColumnFormula>
    </tableColumn>
    <tableColumn id="10" xr3:uid="{91B8035D-1012-4B86-82E7-0B3B3B6EF332}" name="Spalte10">
      <calculatedColumnFormula>J48^2</calculatedColumnFormula>
    </tableColumn>
    <tableColumn id="11" xr3:uid="{971852C3-A6C9-422D-A722-8230D506980D}" name="Spalte11">
      <calculatedColumnFormula>K48^2</calculatedColumnFormula>
    </tableColumn>
    <tableColumn id="12" xr3:uid="{6282565B-9233-4DC3-A7EA-D3E59240B7AD}" name="Spalte12">
      <calculatedColumnFormula>L48^2</calculatedColumnFormula>
    </tableColumn>
    <tableColumn id="13" xr3:uid="{4B4154F4-5146-4C4D-9C05-DFA73C560242}" name="Spalte13">
      <calculatedColumnFormula>M48^2</calculatedColumnFormula>
    </tableColumn>
    <tableColumn id="14" xr3:uid="{E2E75B59-B43E-4209-B312-9C06CF06336C}" name="Spalte14">
      <calculatedColumnFormula>N48^2</calculatedColumnFormula>
    </tableColumn>
    <tableColumn id="15" xr3:uid="{F99A675B-B84B-48F1-8E29-C2BAD954E255}" name="Spalte15">
      <calculatedColumnFormula>O48^2</calculatedColumnFormula>
    </tableColumn>
    <tableColumn id="16" xr3:uid="{A47CB4F8-340A-4A12-83FF-83292AEAA126}" name="Spalte16">
      <calculatedColumnFormula>P48^2</calculatedColumnFormula>
    </tableColumn>
    <tableColumn id="17" xr3:uid="{4D686361-D836-4082-BA5D-A0809976C5EE}" name="Spalte17">
      <calculatedColumnFormula>Q48^2</calculatedColumnFormula>
    </tableColumn>
    <tableColumn id="18" xr3:uid="{102D9928-0838-4392-B39C-3ECCAC0501C5}" name="Spalte18">
      <calculatedColumnFormula>R48^2</calculatedColumnFormula>
    </tableColumn>
    <tableColumn id="19" xr3:uid="{934FD1FC-7B63-4413-9D09-4F95C98FC57F}" name="Spalte19">
      <calculatedColumnFormula>S48^2</calculatedColumnFormula>
    </tableColumn>
    <tableColumn id="20" xr3:uid="{F40C0E5A-6AF5-48EF-802B-6C76D56B0D2F}" name="Spalte20">
      <calculatedColumnFormula>T48^2</calculatedColumnFormula>
    </tableColumn>
    <tableColumn id="21" xr3:uid="{74683E69-3FB7-416F-B49F-479B7559893F}" name="Spalte21">
      <calculatedColumnFormula>U48^2</calculatedColumnFormula>
    </tableColumn>
    <tableColumn id="22" xr3:uid="{51052745-CF1D-4AD8-8C6E-202759D73952}" name="Spalte22">
      <calculatedColumnFormula>V48^2</calculatedColumnFormula>
    </tableColumn>
  </tableColumns>
  <tableStyleInfo name="TableStyleMedium4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79E0224-4E0F-497B-845E-20D90F15C3AE}" name="Tabelle4" displayName="Tabelle4" ref="A67:V69" totalsRowShown="0">
  <autoFilter ref="A67:V69" xr:uid="{D79E0224-4E0F-497B-845E-20D90F15C3AE}"/>
  <tableColumns count="22">
    <tableColumn id="1" xr3:uid="{5CC8008B-1191-480D-9334-FF515FABC805}" name="Spalte1"/>
    <tableColumn id="2" xr3:uid="{1F2C3F34-C05F-49A3-B23F-68AEE716C7DD}" name="Spalte2"/>
    <tableColumn id="3" xr3:uid="{ED71FE1C-A1DB-41F2-8F78-9BB553F86179}" name="Spalte3"/>
    <tableColumn id="4" xr3:uid="{62A1F3A8-1B06-4852-A701-0C7B775B8B21}" name="Spalte4"/>
    <tableColumn id="5" xr3:uid="{28961E96-C594-478B-AFF5-ECD08AB6DF7C}" name="Spalte5"/>
    <tableColumn id="6" xr3:uid="{B15C32F9-2C08-4C09-8050-DE0C7D0D7CD0}" name="Spalte6"/>
    <tableColumn id="7" xr3:uid="{2909F7B7-6469-4E4F-8836-17B5FD0B14CC}" name="Spalte7"/>
    <tableColumn id="8" xr3:uid="{EC970EC1-6F5A-4D52-895D-4D362972A1BC}" name="Spalte8"/>
    <tableColumn id="9" xr3:uid="{A2CA9E25-502F-4D60-AD39-C8F366572CF4}" name="Spalte9"/>
    <tableColumn id="10" xr3:uid="{A7B349FB-1169-46E0-A637-212B5B4EABDB}" name="Spalte10"/>
    <tableColumn id="11" xr3:uid="{14DD4E05-A7FA-4C96-B21A-A3735B677B4E}" name="Spalte11"/>
    <tableColumn id="12" xr3:uid="{6B92E0F0-C065-4C6C-89C1-CC2C4E7424AD}" name="Spalte12"/>
    <tableColumn id="13" xr3:uid="{B4ED8AFB-D322-4E4F-969B-387D54FB8018}" name="Spalte13"/>
    <tableColumn id="14" xr3:uid="{0B587021-BD0B-45B1-BBC0-5AFC320BE007}" name="Spalte14"/>
    <tableColumn id="15" xr3:uid="{CBD386DD-9EAB-4560-8D43-F13BC253B1D3}" name="Spalte15"/>
    <tableColumn id="16" xr3:uid="{04876483-A70A-433C-876E-3F3038F638DE}" name="Spalte16"/>
    <tableColumn id="17" xr3:uid="{7CE946A0-DD34-4279-9F48-B415EBAEF424}" name="Spalte17"/>
    <tableColumn id="18" xr3:uid="{06BDE4CD-F903-4617-A30A-E2C3F1D8859E}" name="Spalte18"/>
    <tableColumn id="19" xr3:uid="{415871F3-AA98-41D9-8E7A-70B043623512}" name="Spalte19"/>
    <tableColumn id="20" xr3:uid="{9C3F51F3-B32F-4F4B-A966-51F00F5C398E}" name="Spalte20"/>
    <tableColumn id="21" xr3:uid="{132B6984-ABBA-4657-BE27-A86AB0C67014}" name="Spalte21"/>
    <tableColumn id="22" xr3:uid="{F43EDBE7-8386-4A28-8AAC-B54CA143E1A7}" name="Spalte22"/>
  </tableColumns>
  <tableStyleInfo name="TableStyleMedium4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D9E9457-6D59-4AD1-A573-515C5B259E7D}" name="Tabelle5" displayName="Tabelle5" ref="A85:V87" totalsRowShown="0">
  <autoFilter ref="A85:V87" xr:uid="{CD9E9457-6D59-4AD1-A573-515C5B259E7D}"/>
  <tableColumns count="22">
    <tableColumn id="1" xr3:uid="{FEFF7D9A-79CF-4A79-B2F7-FAA8E39DDE86}" name="Spalte1"/>
    <tableColumn id="2" xr3:uid="{34EB4B75-A9F7-4D9D-8B06-F0076174F0A3}" name="Spalte2">
      <calculatedColumnFormula>B85*2</calculatedColumnFormula>
    </tableColumn>
    <tableColumn id="3" xr3:uid="{EE93A32E-625C-4A7F-90A7-0D5C7DFBBE94}" name="Spalte3">
      <calculatedColumnFormula>C85*2</calculatedColumnFormula>
    </tableColumn>
    <tableColumn id="4" xr3:uid="{43EDDD76-2BA4-4805-8644-F9F7AE7BCC80}" name="Spalte4">
      <calculatedColumnFormula>D85*2</calculatedColumnFormula>
    </tableColumn>
    <tableColumn id="5" xr3:uid="{CC6CB605-6415-4084-BB29-BAA4CFC9EF24}" name="Spalte5">
      <calculatedColumnFormula>E85*2</calculatedColumnFormula>
    </tableColumn>
    <tableColumn id="6" xr3:uid="{76C260D7-F251-420E-B65E-C577197B7971}" name="Spalte6">
      <calculatedColumnFormula>F85*2</calculatedColumnFormula>
    </tableColumn>
    <tableColumn id="7" xr3:uid="{23391D27-65E4-4FAD-B70B-546D1720A8F3}" name="Spalte7">
      <calculatedColumnFormula>G85*2</calculatedColumnFormula>
    </tableColumn>
    <tableColumn id="8" xr3:uid="{304A422B-C15F-4F56-A0C0-FCAEF39A1E5C}" name="Spalte8">
      <calculatedColumnFormula>H85*2</calculatedColumnFormula>
    </tableColumn>
    <tableColumn id="9" xr3:uid="{23D520F9-18B1-4A4D-843B-8173EFD89DE7}" name="Spalte9">
      <calculatedColumnFormula>I85*2</calculatedColumnFormula>
    </tableColumn>
    <tableColumn id="10" xr3:uid="{46BE6DB7-2ABE-4569-A39C-A95DE61F645D}" name="Spalte10">
      <calculatedColumnFormula>J85*2</calculatedColumnFormula>
    </tableColumn>
    <tableColumn id="11" xr3:uid="{F5B9CAD3-E2C4-4CC1-91DB-B795D3FCDD0B}" name="Spalte11">
      <calculatedColumnFormula>K85*2</calculatedColumnFormula>
    </tableColumn>
    <tableColumn id="12" xr3:uid="{3808F787-CCDE-4530-8C58-55E84A6BA4C1}" name="Spalte12">
      <calculatedColumnFormula>L85*2</calculatedColumnFormula>
    </tableColumn>
    <tableColumn id="13" xr3:uid="{2EBE20FD-574D-4D5F-BD4C-E14FFDAE7F5E}" name="Spalte13">
      <calculatedColumnFormula>M85*2</calculatedColumnFormula>
    </tableColumn>
    <tableColumn id="14" xr3:uid="{D151A776-C40E-4F76-B27B-9646F320A2CE}" name="Spalte14">
      <calculatedColumnFormula>N85*2</calculatedColumnFormula>
    </tableColumn>
    <tableColumn id="15" xr3:uid="{F87C3231-59EB-4A46-9AE7-9035D2F91EBC}" name="Spalte15">
      <calculatedColumnFormula>O85*2</calculatedColumnFormula>
    </tableColumn>
    <tableColumn id="16" xr3:uid="{BA7A5DC9-59A9-4CE5-A2AF-55F9DA02C6D8}" name="Spalte16">
      <calculatedColumnFormula>P85*2</calculatedColumnFormula>
    </tableColumn>
    <tableColumn id="17" xr3:uid="{F57799CB-16BC-4112-838F-C187E7D5D26B}" name="Spalte17">
      <calculatedColumnFormula>Q85*2</calculatedColumnFormula>
    </tableColumn>
    <tableColumn id="18" xr3:uid="{C013B839-5D52-41F2-85CF-EDAC635B2E99}" name="Spalte18">
      <calculatedColumnFormula>R85*2</calculatedColumnFormula>
    </tableColumn>
    <tableColumn id="19" xr3:uid="{A261A5CD-B272-4BF2-B4D6-61835CC2C39B}" name="Spalte19">
      <calculatedColumnFormula>S85*2</calculatedColumnFormula>
    </tableColumn>
    <tableColumn id="20" xr3:uid="{9D9A08E7-0F12-4EF6-BA7C-534641F6731C}" name="Spalte20">
      <calculatedColumnFormula>T85*2</calculatedColumnFormula>
    </tableColumn>
    <tableColumn id="21" xr3:uid="{28BE33CD-F4DE-4125-923E-5C69F02C2689}" name="Spalte21">
      <calculatedColumnFormula>U85*2</calculatedColumnFormula>
    </tableColumn>
    <tableColumn id="22" xr3:uid="{ABA6F12F-575F-406C-AB3A-5AC408D310CF}" name="Spalte22">
      <calculatedColumnFormula>V85*2</calculatedColumnFormula>
    </tableColumn>
  </tableColumns>
  <tableStyleInfo name="TableStyleMedium4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A8963FF-08FC-4326-9A60-58CC434D4EE2}" name="Tabelle6" displayName="Tabelle6" ref="H16:M23" totalsRowShown="0">
  <autoFilter ref="H16:M23" xr:uid="{BA8963FF-08FC-4326-9A60-58CC434D4EE2}"/>
  <tableColumns count="6">
    <tableColumn id="1" xr3:uid="{6AACB771-9ABC-4988-9508-D661D74151A3}" name="Weltraum"/>
    <tableColumn id="2" xr3:uid="{2864D8D8-4A29-4EC3-856B-0B2B5B2573D3}" name="Tag 1"/>
    <tableColumn id="3" xr3:uid="{6830D7B6-AAE0-4DA3-8CDF-3D9F25F85D00}" name="Tag 2"/>
    <tableColumn id="4" xr3:uid="{B16F1340-8C4A-4042-9805-3F0BB30027A6}" name="Tag 3"/>
    <tableColumn id="5" xr3:uid="{DBB58160-3D48-4373-8084-C0C6716C4EEA}" name="Tag 4"/>
    <tableColumn id="6" xr3:uid="{98442005-576C-4328-9EC8-077FC94EF515}" name="Tag 5"/>
  </tableColumns>
  <tableStyleInfo name="TableStyleMedium3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1309A197-F6EB-40A1-8500-80B9956E1DC8}" name="Tabelle7" displayName="Tabelle7" ref="A103:I125" totalsRowShown="0">
  <autoFilter ref="A103:I125" xr:uid="{1309A197-F6EB-40A1-8500-80B9956E1DC8}"/>
  <tableColumns count="9">
    <tableColumn id="1" xr3:uid="{B2A7D088-BAD9-4CAB-9203-B2BD92038E0E}" name="3D-Engine"/>
    <tableColumn id="2" xr3:uid="{E7B9291F-6A0C-4AAC-BF89-E6D3B7225261}" name="Move+Vox1"/>
    <tableColumn id="4" xr3:uid="{775B33B5-8A14-49BA-A05A-A4EC9ABFB87E}" name="Vox2"/>
    <tableColumn id="6" xr3:uid="{3BFC54F2-7D6A-4618-A013-CE70A8C08F0B}" name="Vox3"/>
    <tableColumn id="7" xr3:uid="{98520DA6-F8AA-483E-8448-B8D4980E564A}" name="Vox4"/>
    <tableColumn id="8" xr3:uid="{BF1736C8-334E-4A3D-909D-B833224281C5}" name="Vox5"/>
    <tableColumn id="9" xr3:uid="{10E7CFF3-18CA-40A7-8E96-D65F2F927B7A}" name="Vox6"/>
    <tableColumn id="10" xr3:uid="{93E8D2C0-084B-4BBF-994A-BE1E573A7CC2}" name="Vox7"/>
    <tableColumn id="11" xr3:uid="{F01E442A-31A3-4588-9A60-314DEDC917BB}" name="Vox8"/>
  </tableColumns>
  <tableStyleInfo name="TableStyleMedium6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4DBA36D7-8EEB-4055-BF43-9603EC20CC14}" name="Tabelle8" displayName="Tabelle8" ref="A209:K221" totalsRowShown="0">
  <autoFilter ref="A209:K221" xr:uid="{4DBA36D7-8EEB-4055-BF43-9603EC20CC14}"/>
  <tableColumns count="11">
    <tableColumn id="1" xr3:uid="{EDCAFCC7-9215-4136-AE78-CFB40F20DC84}" name="Variable"/>
    <tableColumn id="2" xr3:uid="{E79FBF7A-83B6-45B5-BF6B-09C6520E27DC}" name="Vox1+Move"/>
    <tableColumn id="11" xr3:uid="{996FE7E8-97BF-4FDA-9EFA-A3D964A93A67}" name="Vox2"/>
    <tableColumn id="12" xr3:uid="{973C5E11-2183-4550-9F98-DF60A41F0982}" name="Vox3"/>
    <tableColumn id="18" xr3:uid="{35F13857-09BD-46E6-BCEE-C0FDB308D33A}" name="Vox4"/>
    <tableColumn id="19" xr3:uid="{3DBA4E16-65E6-4D1D-9DDC-E1BF0976D569}" name="Vox5"/>
    <tableColumn id="20" xr3:uid="{4DB92ECF-710D-41F5-8937-5F2AFE141D43}" name="Vox6"/>
    <tableColumn id="21" xr3:uid="{BBFF2737-D2DD-4B3B-8F2B-471C435B8061}" name="Vox7"/>
    <tableColumn id="22" xr3:uid="{D92DC677-08A3-4AA4-995D-68CAA1E50067}" name="Vox8"/>
    <tableColumn id="23" xr3:uid="{BCECD8C3-06F3-4AA8-A930-DCF5171E7205}" name="Vox9"/>
    <tableColumn id="24" xr3:uid="{63100783-9364-444C-8401-1F035309C1CD}" name="Vox10"/>
  </tableColumns>
  <tableStyleInfo name="TableStyleMedium10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B8744EA5-7EE1-49F8-B057-DAA24B2B8758}" name="Tabelle9" displayName="Tabelle9" ref="A325:I356" totalsRowShown="0">
  <autoFilter ref="A325:I356" xr:uid="{B8744EA5-7EE1-49F8-B057-DAA24B2B8758}"/>
  <tableColumns count="9">
    <tableColumn id="1" xr3:uid="{3C725ED5-07A2-4719-8176-70C98129D7A2}" name="Variables"/>
    <tableColumn id="2" xr3:uid="{8FC32BB8-C150-44CF-9117-4BB68C78CD07}" name="Vox1+Move"/>
    <tableColumn id="3" xr3:uid="{7305197A-6E70-4546-81B5-E87013960EFF}" name="Vox2"/>
    <tableColumn id="4" xr3:uid="{01B01A6B-05B6-4017-9CBF-AFFB918FFFE2}" name="Vox3"/>
    <tableColumn id="5" xr3:uid="{A06CACCF-839C-4576-8ABC-006DF86B83DF}" name="Vox4"/>
    <tableColumn id="6" xr3:uid="{38B2ADFE-F790-4C8B-BDCD-AB2C7066D588}" name="Vox5"/>
    <tableColumn id="7" xr3:uid="{FC4472A3-C328-4DD3-BBF8-053875070055}" name="Vox6"/>
    <tableColumn id="8" xr3:uid="{1593B4EA-F299-4443-A31D-8CAB9BAB64DC}" name="Vox7"/>
    <tableColumn id="9" xr3:uid="{679CEE2F-A1A1-4DC4-B6D9-A7620B5F6F56}" name="Vox8"/>
  </tableColumns>
  <tableStyleInfo name="TableStyleMedium6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CA11030A-94A7-41F8-B3B9-2F0F4EE7B762}" name="Tabelle10" displayName="Tabelle10" ref="A373:Z389" totalsRowShown="0">
  <autoFilter ref="A373:Z389" xr:uid="{CA11030A-94A7-41F8-B3B9-2F0F4EE7B762}"/>
  <tableColumns count="26">
    <tableColumn id="1" xr3:uid="{3BF1F2BA-D988-49AF-9505-6BE21B0CF41F}" name="Variablen"/>
    <tableColumn id="2" xr3:uid="{B1BAFDC0-E903-44DB-B960-F909A572D298}" name="Vox1"/>
    <tableColumn id="3" xr3:uid="{9FFE79F4-8457-42CE-B165-CD9A9A98D268}" name="Vox2"/>
    <tableColumn id="4" xr3:uid="{C0410C1D-BAF1-4830-B1C6-DF8D384A6159}" name="Vox3"/>
    <tableColumn id="5" xr3:uid="{89257D84-2429-4AE3-9C4B-42877EC2A1A7}" name="Vox4"/>
    <tableColumn id="6" xr3:uid="{653AD226-9463-440A-BD3F-8FF29E6FF405}" name="Vox5"/>
    <tableColumn id="7" xr3:uid="{DF34A4D3-F6C7-485D-A070-02B8B2B8A34D}" name="Vox6"/>
    <tableColumn id="8" xr3:uid="{D7E5B737-CB76-4778-98F9-D41ED89B081B}" name="Vox7"/>
    <tableColumn id="9" xr3:uid="{767D76DE-9BA3-4A5C-B01E-5D0E2EFC5466}" name="Vox8"/>
    <tableColumn id="10" xr3:uid="{9C422178-A9E9-4C6C-A9F6-9A90E6EDFB5E}" name="Vox9"/>
    <tableColumn id="24" xr3:uid="{AFEFDA70-E3C6-4699-B75E-3BAD02C15D67}" name="Vox10"/>
    <tableColumn id="25" xr3:uid="{6733D247-9F62-485A-9D88-276DD5551CA9}" name="Vox11"/>
    <tableColumn id="26" xr3:uid="{2DB8DAE0-56FB-4486-8A67-3B11B4E59BD5}" name="Vox12"/>
    <tableColumn id="27" xr3:uid="{5C3D5238-ECB8-489B-8E33-95FA8A7433A5}" name="Vox13"/>
    <tableColumn id="28" xr3:uid="{BA35955E-1E90-4C64-8AB1-B85D70FB09AC}" name="Vox14"/>
    <tableColumn id="29" xr3:uid="{55DD050D-4C16-4D52-93FB-601E0A637AC1}" name="Vox15"/>
    <tableColumn id="30" xr3:uid="{0DE1D6C3-4669-411C-9459-55570B48C97B}" name="Vox16"/>
    <tableColumn id="31" xr3:uid="{FBCB2DF7-B82D-4E53-9A1C-C6654A9E8025}" name="Vox17"/>
    <tableColumn id="32" xr3:uid="{26A1BBC3-9A33-40D9-BEE8-8465322946F2}" name="Vox18"/>
    <tableColumn id="33" xr3:uid="{BB585014-871F-4B25-8B8C-85F5145A49AB}" name="Vox19"/>
    <tableColumn id="34" xr3:uid="{9A370C27-0A39-492F-A6EB-AF532D50CA2A}" name="Vox20"/>
    <tableColumn id="35" xr3:uid="{614AA9BB-97DE-434E-9C0F-3A5ABAC6B812}" name="Vox21"/>
    <tableColumn id="36" xr3:uid="{B51FB764-5ABE-4079-A22D-D0953EAC83B4}" name="Vox22"/>
    <tableColumn id="37" xr3:uid="{CFEE6038-3AC0-473F-AD05-E6D64793FE36}" name="Vox23"/>
    <tableColumn id="38" xr3:uid="{8862BD1D-F57A-4ED4-844C-B1C757AFA32E}" name="Vox24"/>
    <tableColumn id="39" xr3:uid="{2CA11B40-9D95-444B-8767-494E13D27FB2}" name="Vox25"/>
  </tableColumns>
  <tableStyleInfo name="TableStyleMedium1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1D596392-D7DA-47EE-A9CF-43DA154996BE}" name="Tabelle12" displayName="Tabelle12" ref="A446:G467" totalsRowShown="0">
  <autoFilter ref="A446:G467" xr:uid="{1D596392-D7DA-47EE-A9CF-43DA154996BE}"/>
  <tableColumns count="7">
    <tableColumn id="1" xr3:uid="{AE902557-2FA2-49A5-847E-2AC01A0930A8}" name="Item"/>
    <tableColumn id="2" xr3:uid="{D9D0E8BE-3861-4F94-88E2-3D9F1CE544F1}" name="Strange"/>
    <tableColumn id="3" xr3:uid="{3228830A-C64B-4FFC-92F0-47923EAF0188}" name="Unusual"/>
    <tableColumn id="4" xr3:uid="{EF97B7A9-09D0-4394-9F85-38501D93A276}" name="Killstreak"/>
    <tableColumn id="5" xr3:uid="{74BFD306-2C9E-40AB-858A-C0396AB37D35}" name="Paint"/>
    <tableColumn id="6" xr3:uid="{58259239-617E-44FF-AC32-4FAC86BB95AD}" name="Level"/>
    <tableColumn id="7" xr3:uid="{DCB7E73E-CDA0-4922-8B2C-709D81697095}" name="Price" dataDxfId="0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20A3CA6F-A927-4D1E-9523-19415614ACA1}" name="Tabelle11" displayName="Tabelle11" ref="AB373:BA385" totalsRowShown="0">
  <autoFilter ref="AB373:BA385" xr:uid="{20A3CA6F-A927-4D1E-9523-19415614ACA1}"/>
  <tableColumns count="26">
    <tableColumn id="1" xr3:uid="{24CDC951-0586-4038-9C65-0D82D107643B}" name="Name"/>
    <tableColumn id="2" xr3:uid="{23A03AB4-3994-4394-8DC5-5516ECC70264}" name="Vox1+Move"/>
    <tableColumn id="3" xr3:uid="{FDF0934A-12B2-4916-995D-6593B0A14A62}" name="Vox2"/>
    <tableColumn id="4" xr3:uid="{A1C2B4E8-594F-4BBD-B665-DAC0DD7F93B9}" name="Vox3"/>
    <tableColumn id="5" xr3:uid="{D2408C57-01B8-4AEE-A35D-434A2E9C034F}" name="Vox4"/>
    <tableColumn id="6" xr3:uid="{C004C408-C527-46BE-97F5-8BC74397945A}" name="Vox5"/>
    <tableColumn id="7" xr3:uid="{228E72C1-79C1-4FE6-BA6E-1B546B6687B4}" name="Vox6"/>
    <tableColumn id="8" xr3:uid="{A72A6882-4951-49D2-9F57-CB96E8ED5F49}" name="Vox7"/>
    <tableColumn id="9" xr3:uid="{62E16996-2A82-4E61-828A-20B35816E614}" name="Vox8"/>
    <tableColumn id="10" xr3:uid="{50E05E6F-B20B-4264-B397-155FC4E2C863}" name="Vox9"/>
    <tableColumn id="11" xr3:uid="{E03A7894-C462-4F7D-B845-C8908E7CFB25}" name="Vox10"/>
    <tableColumn id="12" xr3:uid="{DE965407-4CA2-4241-B100-94612458A318}" name="Vox11"/>
    <tableColumn id="13" xr3:uid="{A68B24DF-1FC6-4E3C-A184-85FDC61C188F}" name="Vox12"/>
    <tableColumn id="14" xr3:uid="{3937608A-3828-438D-8458-384C2E7F7AC4}" name="Vox13"/>
    <tableColumn id="15" xr3:uid="{15AD43BA-E3EB-4882-B7D8-A9697F0A4253}" name="Vox14"/>
    <tableColumn id="16" xr3:uid="{33F785DE-78FE-4CDC-B8FD-50477F0A5B21}" name="Vox15"/>
    <tableColumn id="17" xr3:uid="{D8E23664-7F8D-4C10-AF3C-1975D9DB0A7D}" name="Vox16"/>
    <tableColumn id="18" xr3:uid="{B4047B61-07F2-4002-BFC8-2BFA0F365CD0}" name="Vox17"/>
    <tableColumn id="19" xr3:uid="{7107E368-C215-4C9D-BC72-901B7F27D0CC}" name="Vox18"/>
    <tableColumn id="20" xr3:uid="{1B956A53-0F10-4779-8FF3-4C5D1031B11F}" name="Vox19"/>
    <tableColumn id="21" xr3:uid="{0465D88E-902A-4B63-BA05-8589399CE2AA}" name="Vox20"/>
    <tableColumn id="22" xr3:uid="{CBA7C469-8048-493A-97C8-F020179684CE}" name="Vox21"/>
    <tableColumn id="23" xr3:uid="{800B369B-2C48-4E7B-AA76-5C0AAFB190AC}" name="Vox22"/>
    <tableColumn id="24" xr3:uid="{409331BC-31B8-432D-B5EF-3E33A87A1195}" name="Vox23"/>
    <tableColumn id="25" xr3:uid="{FB843D84-5326-4273-828D-68EE4B4FC721}" name="Vox24"/>
    <tableColumn id="26" xr3:uid="{3D7A6BB0-6F70-4CF5-8935-9787A1C4EF4D}" name="Vox25"/>
  </tableColumns>
  <tableStyleInfo name="TableStyleDark4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5.xml"/><Relationship Id="rId13" Type="http://schemas.openxmlformats.org/officeDocument/2006/relationships/table" Target="../tables/table10.xml"/><Relationship Id="rId3" Type="http://schemas.openxmlformats.org/officeDocument/2006/relationships/drawing" Target="../drawings/drawing1.xml"/><Relationship Id="rId7" Type="http://schemas.openxmlformats.org/officeDocument/2006/relationships/table" Target="../tables/table4.xml"/><Relationship Id="rId12" Type="http://schemas.openxmlformats.org/officeDocument/2006/relationships/table" Target="../tables/table9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Relationship Id="rId6" Type="http://schemas.openxmlformats.org/officeDocument/2006/relationships/table" Target="../tables/table3.xml"/><Relationship Id="rId11" Type="http://schemas.openxmlformats.org/officeDocument/2006/relationships/table" Target="../tables/table8.xml"/><Relationship Id="rId5" Type="http://schemas.openxmlformats.org/officeDocument/2006/relationships/table" Target="../tables/table2.xml"/><Relationship Id="rId15" Type="http://schemas.openxmlformats.org/officeDocument/2006/relationships/table" Target="../tables/table12.xml"/><Relationship Id="rId10" Type="http://schemas.openxmlformats.org/officeDocument/2006/relationships/table" Target="../tables/table7.xml"/><Relationship Id="rId4" Type="http://schemas.openxmlformats.org/officeDocument/2006/relationships/table" Target="../tables/table1.xml"/><Relationship Id="rId9" Type="http://schemas.openxmlformats.org/officeDocument/2006/relationships/table" Target="../tables/table6.xml"/><Relationship Id="rId14" Type="http://schemas.openxmlformats.org/officeDocument/2006/relationships/table" Target="../tables/table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0D64EF-525B-4A49-846C-C38465C00CC2}">
  <dimension ref="A1:NI569"/>
  <sheetViews>
    <sheetView tabSelected="1" topLeftCell="A538" zoomScale="115" zoomScaleNormal="115" workbookViewId="0">
      <selection activeCell="B555" sqref="B555:I557"/>
    </sheetView>
  </sheetViews>
  <sheetFormatPr baseColWidth="10" defaultColWidth="11.42578125" defaultRowHeight="15" x14ac:dyDescent="0.25"/>
  <cols>
    <col min="1" max="1" width="22.7109375" bestFit="1" customWidth="1"/>
    <col min="2" max="2" width="24.140625" bestFit="1" customWidth="1"/>
    <col min="3" max="3" width="9.42578125" bestFit="1" customWidth="1"/>
    <col min="4" max="4" width="12.7109375" bestFit="1" customWidth="1"/>
    <col min="5" max="5" width="12.85546875" bestFit="1" customWidth="1"/>
    <col min="6" max="6" width="13.28515625" bestFit="1" customWidth="1"/>
    <col min="7" max="7" width="22.85546875" bestFit="1" customWidth="1"/>
    <col min="8" max="8" width="15.85546875" bestFit="1" customWidth="1"/>
    <col min="9" max="9" width="16.7109375" bestFit="1" customWidth="1"/>
    <col min="10" max="10" width="15" bestFit="1" customWidth="1"/>
    <col min="11" max="11" width="11.140625" bestFit="1" customWidth="1"/>
    <col min="12" max="12" width="11.28515625" bestFit="1" customWidth="1"/>
    <col min="13" max="13" width="21.28515625" bestFit="1" customWidth="1"/>
    <col min="14" max="14" width="15" bestFit="1" customWidth="1"/>
    <col min="15" max="15" width="21.42578125" bestFit="1" customWidth="1"/>
    <col min="16" max="16" width="15.28515625" bestFit="1" customWidth="1"/>
    <col min="17" max="17" width="12.28515625" bestFit="1" customWidth="1"/>
    <col min="18" max="18" width="21.85546875" bestFit="1" customWidth="1"/>
    <col min="19" max="19" width="24.7109375" bestFit="1" customWidth="1"/>
    <col min="20" max="20" width="11.140625" bestFit="1" customWidth="1"/>
    <col min="21" max="21" width="12.28515625" bestFit="1" customWidth="1"/>
    <col min="22" max="22" width="31.28515625" bestFit="1" customWidth="1"/>
    <col min="23" max="23" width="15.85546875" bestFit="1" customWidth="1"/>
    <col min="24" max="24" width="12.28515625" bestFit="1" customWidth="1"/>
    <col min="25" max="25" width="15.5703125" bestFit="1" customWidth="1"/>
    <col min="26" max="26" width="20.42578125" bestFit="1" customWidth="1"/>
    <col min="27" max="27" width="23.85546875" bestFit="1" customWidth="1"/>
    <col min="28" max="28" width="18" bestFit="1" customWidth="1"/>
    <col min="29" max="29" width="19.5703125" bestFit="1" customWidth="1"/>
    <col min="30" max="30" width="18" bestFit="1" customWidth="1"/>
    <col min="31" max="31" width="19.5703125" bestFit="1" customWidth="1"/>
    <col min="32" max="32" width="24.7109375" bestFit="1" customWidth="1"/>
    <col min="33" max="33" width="19.5703125" bestFit="1" customWidth="1"/>
    <col min="34" max="34" width="18" bestFit="1" customWidth="1"/>
    <col min="35" max="35" width="19.5703125" bestFit="1" customWidth="1"/>
    <col min="36" max="36" width="18" bestFit="1" customWidth="1"/>
    <col min="37" max="37" width="19.5703125" bestFit="1" customWidth="1"/>
    <col min="38" max="38" width="18" bestFit="1" customWidth="1"/>
    <col min="39" max="39" width="19.5703125" bestFit="1" customWidth="1"/>
    <col min="40" max="40" width="18" bestFit="1" customWidth="1"/>
    <col min="41" max="41" width="19.5703125" bestFit="1" customWidth="1"/>
    <col min="42" max="42" width="18" bestFit="1" customWidth="1"/>
    <col min="43" max="43" width="19.5703125" bestFit="1" customWidth="1"/>
    <col min="44" max="44" width="26.140625" bestFit="1" customWidth="1"/>
    <col min="45" max="45" width="27.85546875" bestFit="1" customWidth="1"/>
    <col min="46" max="52" width="24.7109375" bestFit="1" customWidth="1"/>
    <col min="53" max="53" width="42.28515625" bestFit="1" customWidth="1"/>
    <col min="54" max="54" width="41" bestFit="1" customWidth="1"/>
    <col min="55" max="55" width="27.85546875" bestFit="1" customWidth="1"/>
    <col min="56" max="56" width="26.7109375" bestFit="1" customWidth="1"/>
    <col min="126" max="126" width="13.85546875" bestFit="1" customWidth="1"/>
    <col min="189" max="189" width="14.5703125" bestFit="1" customWidth="1"/>
  </cols>
  <sheetData>
    <row r="1" spans="1:189" x14ac:dyDescent="0.25">
      <c r="B1">
        <v>24</v>
      </c>
      <c r="N1">
        <v>25</v>
      </c>
      <c r="Z1">
        <v>26</v>
      </c>
    </row>
    <row r="2" spans="1:189" x14ac:dyDescent="0.25">
      <c r="A2" t="s">
        <v>0</v>
      </c>
      <c r="B2" s="1" t="s">
        <v>2</v>
      </c>
      <c r="C2" t="s">
        <v>1</v>
      </c>
      <c r="D2" t="s">
        <v>3</v>
      </c>
      <c r="E2" t="s">
        <v>4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s="1" t="s">
        <v>2</v>
      </c>
      <c r="O2" t="s">
        <v>1</v>
      </c>
      <c r="P2" t="s">
        <v>3</v>
      </c>
      <c r="Q2" t="s">
        <v>4</v>
      </c>
      <c r="R2" t="s">
        <v>6</v>
      </c>
      <c r="S2" t="s">
        <v>7</v>
      </c>
      <c r="T2" t="s">
        <v>8</v>
      </c>
      <c r="U2" t="s">
        <v>9</v>
      </c>
      <c r="V2" t="s">
        <v>10</v>
      </c>
      <c r="W2" t="s">
        <v>11</v>
      </c>
      <c r="X2" t="s">
        <v>12</v>
      </c>
      <c r="Y2" t="s">
        <v>13</v>
      </c>
      <c r="Z2" s="1" t="s">
        <v>2</v>
      </c>
      <c r="AA2" t="s">
        <v>1</v>
      </c>
      <c r="AB2" t="s">
        <v>3</v>
      </c>
      <c r="AC2" t="s">
        <v>4</v>
      </c>
      <c r="AD2" t="s">
        <v>6</v>
      </c>
      <c r="AE2" t="s">
        <v>7</v>
      </c>
      <c r="AF2" t="s">
        <v>8</v>
      </c>
      <c r="AG2" t="s">
        <v>9</v>
      </c>
      <c r="AH2" t="s">
        <v>10</v>
      </c>
      <c r="AI2" t="s">
        <v>11</v>
      </c>
      <c r="AJ2" t="s">
        <v>12</v>
      </c>
      <c r="AK2" t="s">
        <v>13</v>
      </c>
    </row>
    <row r="3" spans="1:189" x14ac:dyDescent="0.25">
      <c r="A3" t="s">
        <v>22</v>
      </c>
      <c r="B3" s="3">
        <v>1111</v>
      </c>
      <c r="C3" s="3">
        <v>1111</v>
      </c>
      <c r="D3" s="3">
        <v>1111</v>
      </c>
      <c r="E3" s="3">
        <v>1111</v>
      </c>
      <c r="F3" s="3">
        <v>1111</v>
      </c>
      <c r="G3" s="3">
        <v>1111</v>
      </c>
      <c r="H3" s="3">
        <v>1111</v>
      </c>
      <c r="I3" s="3">
        <v>1111</v>
      </c>
      <c r="J3" s="3">
        <v>1100</v>
      </c>
      <c r="K3" s="3">
        <v>1111</v>
      </c>
      <c r="L3" s="3">
        <v>1111</v>
      </c>
      <c r="M3" s="3">
        <v>1110</v>
      </c>
    </row>
    <row r="4" spans="1:189" x14ac:dyDescent="0.25">
      <c r="A4" t="s">
        <v>23</v>
      </c>
      <c r="B4" s="3">
        <v>300</v>
      </c>
      <c r="C4" s="3">
        <v>300</v>
      </c>
      <c r="D4" s="3">
        <v>300</v>
      </c>
      <c r="E4" s="3">
        <v>300</v>
      </c>
      <c r="F4" s="3">
        <v>300</v>
      </c>
      <c r="G4" s="3">
        <v>300</v>
      </c>
      <c r="H4" s="3">
        <v>300</v>
      </c>
      <c r="I4" s="3">
        <v>300</v>
      </c>
      <c r="J4" s="3">
        <v>300</v>
      </c>
      <c r="K4" s="3">
        <v>300</v>
      </c>
      <c r="L4" s="3">
        <v>300</v>
      </c>
      <c r="M4" s="3">
        <v>300</v>
      </c>
      <c r="N4">
        <f>MIN((Tabelle1[[#This Row],[Jan]:[Dez]]))</f>
        <v>300</v>
      </c>
    </row>
    <row r="5" spans="1:189" x14ac:dyDescent="0.25">
      <c r="A5" t="s">
        <v>5</v>
      </c>
      <c r="B5" s="2">
        <f>B7+B6</f>
        <v>839</v>
      </c>
      <c r="C5" s="2">
        <f t="shared" ref="C5:K5" si="0">C7+C6</f>
        <v>840</v>
      </c>
      <c r="D5" s="2">
        <f t="shared" si="0"/>
        <v>841</v>
      </c>
      <c r="E5" s="2">
        <f t="shared" si="0"/>
        <v>842</v>
      </c>
      <c r="F5" s="2">
        <f t="shared" si="0"/>
        <v>843</v>
      </c>
      <c r="G5" s="2">
        <f t="shared" si="0"/>
        <v>844</v>
      </c>
      <c r="H5" s="2">
        <f t="shared" si="0"/>
        <v>845</v>
      </c>
      <c r="I5" s="2">
        <f t="shared" si="0"/>
        <v>846</v>
      </c>
      <c r="J5" s="2">
        <f t="shared" si="0"/>
        <v>836</v>
      </c>
      <c r="K5" s="2">
        <f t="shared" si="0"/>
        <v>848</v>
      </c>
      <c r="L5" s="2">
        <f>L7+L6</f>
        <v>849</v>
      </c>
      <c r="M5" s="2">
        <f>M7+M6</f>
        <v>849</v>
      </c>
      <c r="N5">
        <f>MIN(Tabelle1[[#This Row],[Jan]:[Dez]])</f>
        <v>836</v>
      </c>
    </row>
    <row r="6" spans="1:189" x14ac:dyDescent="0.25">
      <c r="A6" t="s">
        <v>14</v>
      </c>
      <c r="B6" s="2">
        <f>B3-B4</f>
        <v>811</v>
      </c>
      <c r="C6" s="2">
        <f t="shared" ref="C6:L6" si="1">C3-C4</f>
        <v>811</v>
      </c>
      <c r="D6" s="2">
        <f t="shared" si="1"/>
        <v>811</v>
      </c>
      <c r="E6" s="2">
        <f t="shared" si="1"/>
        <v>811</v>
      </c>
      <c r="F6" s="2">
        <f t="shared" si="1"/>
        <v>811</v>
      </c>
      <c r="G6" s="2">
        <f t="shared" si="1"/>
        <v>811</v>
      </c>
      <c r="H6" s="2">
        <f t="shared" si="1"/>
        <v>811</v>
      </c>
      <c r="I6" s="2">
        <f t="shared" si="1"/>
        <v>811</v>
      </c>
      <c r="J6" s="2">
        <f>J3-J4</f>
        <v>800</v>
      </c>
      <c r="K6" s="2">
        <f t="shared" si="1"/>
        <v>811</v>
      </c>
      <c r="L6" s="2">
        <f t="shared" si="1"/>
        <v>811</v>
      </c>
      <c r="M6" s="2">
        <f>M3-M4</f>
        <v>810</v>
      </c>
    </row>
    <row r="7" spans="1:189" x14ac:dyDescent="0.25">
      <c r="A7" t="s">
        <v>15</v>
      </c>
      <c r="B7" s="2">
        <v>28</v>
      </c>
      <c r="C7" s="2">
        <v>29</v>
      </c>
      <c r="D7" s="2">
        <v>30</v>
      </c>
      <c r="E7" s="2">
        <v>31</v>
      </c>
      <c r="F7" s="2">
        <v>32</v>
      </c>
      <c r="G7" s="2">
        <v>33</v>
      </c>
      <c r="H7" s="2">
        <v>34</v>
      </c>
      <c r="I7" s="2">
        <v>35</v>
      </c>
      <c r="J7" s="2">
        <v>36</v>
      </c>
      <c r="K7" s="2">
        <v>37</v>
      </c>
      <c r="L7" s="2">
        <v>38</v>
      </c>
      <c r="M7" s="2">
        <v>39</v>
      </c>
    </row>
    <row r="8" spans="1:189" x14ac:dyDescent="0.25">
      <c r="A8" t="s">
        <v>16</v>
      </c>
      <c r="B8" s="2">
        <f>B9+B10+B11+B12</f>
        <v>345</v>
      </c>
      <c r="C8" s="2">
        <f t="shared" ref="C8:K8" si="2">C9+C10+C11+C12</f>
        <v>350</v>
      </c>
      <c r="D8" s="2">
        <f t="shared" si="2"/>
        <v>355</v>
      </c>
      <c r="E8" s="2">
        <f t="shared" si="2"/>
        <v>360</v>
      </c>
      <c r="F8" s="2">
        <f t="shared" si="2"/>
        <v>365</v>
      </c>
      <c r="G8" s="2">
        <f t="shared" si="2"/>
        <v>345</v>
      </c>
      <c r="H8" s="2">
        <f t="shared" si="2"/>
        <v>345</v>
      </c>
      <c r="I8" s="2">
        <f t="shared" si="2"/>
        <v>345</v>
      </c>
      <c r="J8" s="2">
        <f t="shared" si="2"/>
        <v>345</v>
      </c>
      <c r="K8" s="2">
        <f t="shared" si="2"/>
        <v>345</v>
      </c>
      <c r="L8" s="2">
        <f>L9+L10+L11+L12</f>
        <v>345</v>
      </c>
      <c r="M8" s="2">
        <f>M9+M10+M11+M12</f>
        <v>345</v>
      </c>
    </row>
    <row r="9" spans="1:189" x14ac:dyDescent="0.25">
      <c r="A9" t="s">
        <v>17</v>
      </c>
      <c r="B9" s="2">
        <v>250</v>
      </c>
      <c r="C9" s="2">
        <v>250</v>
      </c>
      <c r="D9" s="2">
        <v>250</v>
      </c>
      <c r="E9" s="2">
        <v>250</v>
      </c>
      <c r="F9" s="2">
        <v>250</v>
      </c>
      <c r="G9" s="2">
        <v>250</v>
      </c>
      <c r="H9" s="2">
        <v>250</v>
      </c>
      <c r="I9" s="2">
        <v>250</v>
      </c>
      <c r="J9" s="2">
        <v>250</v>
      </c>
      <c r="K9" s="2">
        <v>250</v>
      </c>
      <c r="L9" s="2">
        <v>250</v>
      </c>
      <c r="M9" s="2">
        <v>250</v>
      </c>
    </row>
    <row r="10" spans="1:189" x14ac:dyDescent="0.25">
      <c r="A10" t="s">
        <v>18</v>
      </c>
      <c r="B10" s="2">
        <v>50</v>
      </c>
      <c r="C10" s="2">
        <v>55</v>
      </c>
      <c r="D10" s="2">
        <v>60</v>
      </c>
      <c r="E10" s="2">
        <v>65</v>
      </c>
      <c r="F10" s="2">
        <v>70</v>
      </c>
      <c r="G10" s="2">
        <v>50</v>
      </c>
      <c r="H10" s="2">
        <v>50</v>
      </c>
      <c r="I10" s="2">
        <v>50</v>
      </c>
      <c r="J10" s="2">
        <v>50</v>
      </c>
      <c r="K10" s="2">
        <v>50</v>
      </c>
      <c r="L10" s="2">
        <v>50</v>
      </c>
      <c r="M10" s="2">
        <v>50</v>
      </c>
    </row>
    <row r="11" spans="1:189" x14ac:dyDescent="0.25">
      <c r="A11" t="s">
        <v>19</v>
      </c>
      <c r="B11" s="2">
        <v>15</v>
      </c>
      <c r="C11" s="2">
        <v>15</v>
      </c>
      <c r="D11" s="2">
        <v>15</v>
      </c>
      <c r="E11" s="2">
        <v>15</v>
      </c>
      <c r="F11" s="2">
        <v>15</v>
      </c>
      <c r="G11" s="2">
        <v>15</v>
      </c>
      <c r="H11" s="2">
        <v>15</v>
      </c>
      <c r="I11" s="2">
        <v>15</v>
      </c>
      <c r="J11" s="2">
        <v>15</v>
      </c>
      <c r="K11" s="2">
        <v>15</v>
      </c>
      <c r="L11" s="2">
        <v>15</v>
      </c>
      <c r="M11" s="2">
        <v>15</v>
      </c>
    </row>
    <row r="12" spans="1:189" x14ac:dyDescent="0.25">
      <c r="A12" t="s">
        <v>20</v>
      </c>
      <c r="B12" s="2">
        <v>30</v>
      </c>
      <c r="C12" s="2">
        <v>30</v>
      </c>
      <c r="D12" s="2">
        <v>30</v>
      </c>
      <c r="E12" s="2">
        <v>30</v>
      </c>
      <c r="F12" s="2">
        <v>30</v>
      </c>
      <c r="G12" s="2">
        <v>30</v>
      </c>
      <c r="H12" s="2">
        <v>30</v>
      </c>
      <c r="I12" s="2">
        <v>30</v>
      </c>
      <c r="J12" s="2">
        <v>30</v>
      </c>
      <c r="K12" s="2">
        <v>30</v>
      </c>
      <c r="L12" s="2">
        <v>30</v>
      </c>
      <c r="M12" s="2">
        <v>30</v>
      </c>
    </row>
    <row r="13" spans="1:189" x14ac:dyDescent="0.25">
      <c r="A13" t="s">
        <v>24</v>
      </c>
      <c r="B13" s="2">
        <f>B5-B8</f>
        <v>494</v>
      </c>
      <c r="C13" s="2">
        <f t="shared" ref="C13:K13" si="3">C5-C8</f>
        <v>490</v>
      </c>
      <c r="D13" s="2">
        <f t="shared" si="3"/>
        <v>486</v>
      </c>
      <c r="E13" s="2">
        <f t="shared" si="3"/>
        <v>482</v>
      </c>
      <c r="F13" s="2">
        <f t="shared" si="3"/>
        <v>478</v>
      </c>
      <c r="G13" s="2">
        <f t="shared" si="3"/>
        <v>499</v>
      </c>
      <c r="H13" s="2">
        <f t="shared" si="3"/>
        <v>500</v>
      </c>
      <c r="I13" s="2">
        <f t="shared" si="3"/>
        <v>501</v>
      </c>
      <c r="J13" s="2">
        <f t="shared" si="3"/>
        <v>491</v>
      </c>
      <c r="K13" s="2">
        <f t="shared" si="3"/>
        <v>503</v>
      </c>
      <c r="L13" s="2">
        <f>L5-L8</f>
        <v>504</v>
      </c>
      <c r="M13" s="2">
        <f>M5-M8</f>
        <v>504</v>
      </c>
    </row>
    <row r="14" spans="1:189" x14ac:dyDescent="0.25">
      <c r="A14" t="s">
        <v>36</v>
      </c>
      <c r="K14" s="2">
        <f>SUBTOTAL(104,Tabelle1[Okt])</f>
        <v>1111</v>
      </c>
      <c r="L14" s="2">
        <f>SUBTOTAL(109,Tabelle1[Nov])</f>
        <v>4303</v>
      </c>
      <c r="M14" s="2">
        <f>SUBTOTAL(109,Tabelle1[Dez])</f>
        <v>4302</v>
      </c>
      <c r="N14" s="10" t="e" cm="1">
        <f t="array" aca="1" ref="N14" ca="1">_xludf.sum(M3:M13)</f>
        <v>#NAME?</v>
      </c>
    </row>
    <row r="16" spans="1:189" x14ac:dyDescent="0.25">
      <c r="H16" t="s">
        <v>95</v>
      </c>
      <c r="I16" t="s">
        <v>30</v>
      </c>
      <c r="J16" t="s">
        <v>31</v>
      </c>
      <c r="K16" t="s">
        <v>32</v>
      </c>
      <c r="L16" t="s">
        <v>33</v>
      </c>
      <c r="M16" t="s">
        <v>34</v>
      </c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F16" s="4"/>
      <c r="CG16" s="4"/>
      <c r="CH16" s="4"/>
      <c r="CI16" s="4"/>
      <c r="CJ16" s="4"/>
      <c r="CK16" s="4"/>
      <c r="CL16" s="4"/>
      <c r="CM16" s="4"/>
      <c r="CN16" s="4"/>
      <c r="CO16" s="4"/>
      <c r="CP16" s="4"/>
      <c r="CQ16" s="4"/>
      <c r="CR16" s="4"/>
      <c r="CS16" s="4"/>
      <c r="CT16" s="4"/>
      <c r="CU16" s="4"/>
      <c r="CV16" s="4"/>
      <c r="CW16" s="4"/>
      <c r="CX16" s="4"/>
      <c r="CY16" s="4"/>
      <c r="CZ16" s="4"/>
      <c r="DA16" s="4"/>
      <c r="DB16" s="4"/>
      <c r="DC16" s="4"/>
      <c r="DD16" s="4"/>
      <c r="DE16" s="4"/>
      <c r="DF16" s="4"/>
      <c r="DG16" s="4"/>
      <c r="DH16" s="4"/>
      <c r="DI16" s="4"/>
      <c r="DJ16" s="4"/>
      <c r="DK16" s="4"/>
      <c r="DL16" s="4"/>
      <c r="DM16" s="4"/>
      <c r="DN16" s="4"/>
      <c r="DO16" s="4"/>
      <c r="DP16" s="4"/>
      <c r="DQ16" s="4"/>
      <c r="DR16" s="4"/>
      <c r="DS16" s="4"/>
      <c r="DT16" s="4"/>
      <c r="DU16" s="4"/>
      <c r="DV16" s="4"/>
      <c r="DW16" s="4"/>
      <c r="DX16" s="4"/>
      <c r="DY16" s="4"/>
      <c r="DZ16" s="4"/>
      <c r="EA16" s="4"/>
      <c r="EB16" s="4"/>
      <c r="EC16" s="4"/>
      <c r="ED16" s="4"/>
      <c r="EE16" s="4"/>
      <c r="EF16" s="4"/>
      <c r="EG16" s="4"/>
      <c r="EH16" s="4"/>
      <c r="EI16" s="4"/>
      <c r="EJ16" s="4"/>
      <c r="EK16" s="4"/>
      <c r="EL16" s="4"/>
      <c r="EM16" s="4"/>
      <c r="EN16" s="4"/>
      <c r="EO16" s="4"/>
      <c r="EP16" s="4"/>
      <c r="EQ16" s="4"/>
      <c r="ER16" s="4"/>
      <c r="ES16" s="4"/>
      <c r="ET16" s="4"/>
      <c r="EU16" s="4"/>
      <c r="EV16" s="4"/>
      <c r="EW16" s="4"/>
      <c r="EX16" s="4"/>
      <c r="EY16" s="4"/>
      <c r="EZ16" s="4"/>
      <c r="FA16" s="4"/>
      <c r="FB16" s="4"/>
      <c r="FC16" s="4"/>
      <c r="FD16" s="4"/>
      <c r="FE16" s="4"/>
      <c r="FF16" s="4"/>
      <c r="FG16" s="4"/>
      <c r="FH16" s="4"/>
      <c r="FI16" s="4"/>
      <c r="FJ16" s="4"/>
      <c r="FK16" s="4"/>
      <c r="FL16" s="4"/>
      <c r="FM16" s="4"/>
      <c r="FN16" s="4"/>
      <c r="FO16" s="4"/>
      <c r="FP16" s="4"/>
      <c r="FQ16" s="4"/>
      <c r="FR16" s="4"/>
      <c r="FS16" s="4"/>
      <c r="FT16" s="4"/>
      <c r="FU16" s="4"/>
      <c r="FV16" s="4"/>
      <c r="FW16" s="4"/>
      <c r="FX16" s="4"/>
      <c r="FY16" s="4"/>
      <c r="FZ16" s="4"/>
      <c r="GA16" s="4"/>
      <c r="GB16" s="4"/>
      <c r="GC16" s="4"/>
      <c r="GD16" s="4"/>
      <c r="GE16" s="4"/>
      <c r="GF16" s="4"/>
      <c r="GG16" s="4"/>
    </row>
    <row r="17" spans="1:189" x14ac:dyDescent="0.25">
      <c r="H17" t="s">
        <v>26</v>
      </c>
      <c r="I17" s="4">
        <v>1000000</v>
      </c>
      <c r="J17" s="4">
        <f>I17+I23</f>
        <v>936000</v>
      </c>
      <c r="K17" s="4">
        <f>J17+J23</f>
        <v>873000</v>
      </c>
      <c r="L17" s="4">
        <f t="shared" ref="L17:M17" si="4">K17+K23</f>
        <v>801000</v>
      </c>
      <c r="M17" s="4">
        <f t="shared" si="4"/>
        <v>729000</v>
      </c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  <c r="CB17" s="4"/>
      <c r="CC17" s="4"/>
      <c r="CD17" s="4"/>
      <c r="CE17" s="4"/>
      <c r="CF17" s="4"/>
      <c r="CG17" s="4"/>
      <c r="CH17" s="4"/>
      <c r="CI17" s="4"/>
      <c r="CJ17" s="4"/>
      <c r="CK17" s="4"/>
      <c r="CL17" s="4"/>
      <c r="CM17" s="4"/>
      <c r="CN17" s="4"/>
      <c r="CO17" s="4"/>
      <c r="CP17" s="4"/>
      <c r="CQ17" s="4"/>
      <c r="CR17" s="4"/>
      <c r="CS17" s="4"/>
      <c r="CT17" s="4"/>
      <c r="CU17" s="4"/>
      <c r="CV17" s="4"/>
      <c r="CW17" s="4"/>
      <c r="CX17" s="4"/>
      <c r="CY17" s="4"/>
      <c r="CZ17" s="4"/>
      <c r="DA17" s="4"/>
      <c r="DB17" s="4"/>
      <c r="DC17" s="4"/>
      <c r="DD17" s="4"/>
      <c r="DE17" s="4"/>
      <c r="DF17" s="4"/>
      <c r="DG17" s="4"/>
      <c r="DH17" s="4"/>
      <c r="DI17" s="4"/>
      <c r="DJ17" s="4"/>
      <c r="DK17" s="4"/>
      <c r="DL17" s="4"/>
      <c r="DM17" s="4"/>
      <c r="DN17" s="4"/>
      <c r="DO17" s="4"/>
      <c r="DP17" s="4"/>
      <c r="DQ17" s="4"/>
      <c r="DR17" s="4"/>
      <c r="DS17" s="4"/>
      <c r="DT17" s="4"/>
      <c r="DU17" s="4"/>
      <c r="DV17" s="4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</row>
    <row r="18" spans="1:189" x14ac:dyDescent="0.25">
      <c r="H18" t="s">
        <v>25</v>
      </c>
      <c r="I18" s="5">
        <v>50</v>
      </c>
      <c r="J18" s="5">
        <v>49</v>
      </c>
      <c r="K18" s="5">
        <v>58</v>
      </c>
      <c r="L18" s="5">
        <v>58</v>
      </c>
      <c r="M18" s="5">
        <v>58</v>
      </c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</row>
    <row r="19" spans="1:189" x14ac:dyDescent="0.25">
      <c r="H19" t="s">
        <v>29</v>
      </c>
      <c r="I19">
        <v>2000</v>
      </c>
      <c r="J19">
        <v>2000</v>
      </c>
      <c r="K19">
        <v>2000</v>
      </c>
      <c r="L19">
        <v>2000</v>
      </c>
      <c r="M19">
        <v>2000</v>
      </c>
    </row>
    <row r="20" spans="1:189" x14ac:dyDescent="0.25">
      <c r="H20" t="s">
        <v>28</v>
      </c>
      <c r="I20">
        <v>10000</v>
      </c>
      <c r="J20">
        <v>10000</v>
      </c>
      <c r="K20">
        <v>10000</v>
      </c>
      <c r="L20">
        <v>10000</v>
      </c>
      <c r="M20">
        <v>10000</v>
      </c>
    </row>
    <row r="21" spans="1:189" x14ac:dyDescent="0.25">
      <c r="H21" t="s">
        <v>27</v>
      </c>
      <c r="I21">
        <v>10</v>
      </c>
      <c r="J21">
        <v>10</v>
      </c>
      <c r="K21">
        <v>10</v>
      </c>
      <c r="L21">
        <v>10</v>
      </c>
      <c r="M21">
        <v>10</v>
      </c>
    </row>
    <row r="22" spans="1:189" x14ac:dyDescent="0.25">
      <c r="H22" t="s">
        <v>35</v>
      </c>
      <c r="I22">
        <v>1000</v>
      </c>
      <c r="J22">
        <v>1000</v>
      </c>
      <c r="K22">
        <v>1000</v>
      </c>
      <c r="L22">
        <v>1000</v>
      </c>
      <c r="M22">
        <v>1000</v>
      </c>
      <c r="DW22" s="4"/>
      <c r="DX22" s="4"/>
      <c r="DY22" s="4"/>
      <c r="DZ22" s="4"/>
      <c r="EA22" s="4"/>
      <c r="EB22" s="4"/>
      <c r="EC22" s="4"/>
      <c r="ED22" s="4"/>
      <c r="EE22" s="4"/>
      <c r="EF22" s="4"/>
      <c r="EG22" s="4"/>
      <c r="EH22" s="4"/>
      <c r="EI22" s="4"/>
      <c r="EJ22" s="4"/>
      <c r="EK22" s="4"/>
      <c r="EL22" s="4"/>
      <c r="EM22" s="4"/>
      <c r="EN22" s="4"/>
      <c r="EO22" s="4"/>
      <c r="EP22" s="4"/>
      <c r="EQ22" s="4"/>
      <c r="ER22" s="4"/>
      <c r="ES22" s="4"/>
      <c r="ET22" s="4"/>
      <c r="EU22" s="4"/>
      <c r="EV22" s="4"/>
      <c r="EW22" s="4"/>
      <c r="EX22" s="4"/>
      <c r="EY22" s="4"/>
      <c r="EZ22" s="4"/>
      <c r="FA22" s="4"/>
      <c r="FB22" s="4"/>
      <c r="FC22" s="4"/>
      <c r="FD22" s="4"/>
      <c r="FE22" s="4"/>
      <c r="FF22" s="4"/>
      <c r="FG22" s="4"/>
      <c r="FH22" s="4"/>
      <c r="FI22" s="4"/>
      <c r="FJ22" s="4"/>
      <c r="FK22" s="4"/>
      <c r="FL22" s="4"/>
      <c r="FM22" s="4"/>
      <c r="FN22" s="4"/>
      <c r="FO22" s="4"/>
      <c r="FP22" s="4"/>
      <c r="FQ22" s="4"/>
      <c r="FR22" s="4"/>
      <c r="FS22" s="4"/>
      <c r="FT22" s="4"/>
      <c r="FU22" s="4"/>
      <c r="FV22" s="4"/>
      <c r="FW22" s="4"/>
      <c r="FX22" s="4"/>
      <c r="FY22" s="4"/>
      <c r="FZ22" s="4"/>
      <c r="GA22" s="4"/>
      <c r="GB22" s="4"/>
      <c r="GC22" s="4"/>
      <c r="GD22" s="4"/>
      <c r="GE22" s="4"/>
      <c r="GF22" s="4"/>
      <c r="GG22" s="4"/>
    </row>
    <row r="23" spans="1:189" x14ac:dyDescent="0.25">
      <c r="H23" t="s">
        <v>16</v>
      </c>
      <c r="I23" s="4">
        <f>-(I18*1000+I19+I20+I21*100+I22)</f>
        <v>-64000</v>
      </c>
      <c r="J23" s="4">
        <f>-(J18*1000+J19+J20+J21*100+J22)</f>
        <v>-63000</v>
      </c>
      <c r="K23" s="4">
        <f t="shared" ref="K23" si="5">-(K18*1000+K19+K20+K21*100+K22)</f>
        <v>-72000</v>
      </c>
      <c r="L23" s="4">
        <f t="shared" ref="L23" si="6">-(L18*1000+L19+L20+L21*100+L22)</f>
        <v>-72000</v>
      </c>
      <c r="M23" s="4">
        <f t="shared" ref="M23" si="7">-(M18*1000+M19+M20+M21*100+M22)</f>
        <v>-72000</v>
      </c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4"/>
      <c r="CH23" s="4"/>
      <c r="CI23" s="4"/>
      <c r="CJ23" s="4"/>
      <c r="CK23" s="4"/>
      <c r="CL23" s="4"/>
      <c r="CM23" s="4"/>
      <c r="CN23" s="4"/>
      <c r="CO23" s="4"/>
      <c r="CP23" s="4"/>
      <c r="CQ23" s="4"/>
      <c r="CR23" s="4"/>
      <c r="CS23" s="4"/>
      <c r="CT23" s="4"/>
      <c r="CU23" s="4"/>
      <c r="CV23" s="4"/>
      <c r="CW23" s="4"/>
      <c r="CX23" s="4"/>
      <c r="CY23" s="4"/>
      <c r="CZ23" s="4"/>
      <c r="DA23" s="4"/>
      <c r="DB23" s="4"/>
      <c r="DC23" s="4"/>
      <c r="DD23" s="4"/>
      <c r="DE23" s="4"/>
      <c r="DF23" s="4"/>
      <c r="DG23" s="4"/>
      <c r="DH23" s="4"/>
      <c r="DI23" s="4"/>
      <c r="DJ23" s="4"/>
      <c r="DK23" s="4"/>
      <c r="DL23" s="4"/>
      <c r="DM23" s="4"/>
      <c r="DN23" s="4"/>
      <c r="DO23" s="4"/>
      <c r="DP23" s="4"/>
      <c r="DQ23" s="4"/>
      <c r="DR23" s="4"/>
      <c r="DS23" s="4"/>
      <c r="DT23" s="4"/>
      <c r="DU23" s="4"/>
      <c r="DV23" s="4"/>
    </row>
    <row r="24" spans="1:189" x14ac:dyDescent="0.25">
      <c r="J24" s="2"/>
    </row>
    <row r="25" spans="1:189" x14ac:dyDescent="0.25">
      <c r="J25" s="2"/>
    </row>
    <row r="26" spans="1:189" x14ac:dyDescent="0.25">
      <c r="J26" s="2"/>
    </row>
    <row r="27" spans="1:189" x14ac:dyDescent="0.25">
      <c r="J27" s="2"/>
    </row>
    <row r="28" spans="1:189" x14ac:dyDescent="0.25">
      <c r="J28" s="2"/>
    </row>
    <row r="32" spans="1:189" x14ac:dyDescent="0.25">
      <c r="A32" t="s">
        <v>37</v>
      </c>
      <c r="B32" s="7" t="s">
        <v>53</v>
      </c>
      <c r="C32" s="7" t="s">
        <v>54</v>
      </c>
      <c r="D32" s="7" t="s">
        <v>55</v>
      </c>
      <c r="E32" s="7" t="s">
        <v>56</v>
      </c>
      <c r="F32" s="7" t="s">
        <v>57</v>
      </c>
      <c r="G32" s="7" t="s">
        <v>58</v>
      </c>
      <c r="H32" s="7" t="s">
        <v>59</v>
      </c>
      <c r="I32" s="7" t="s">
        <v>60</v>
      </c>
      <c r="J32" s="7" t="s">
        <v>61</v>
      </c>
      <c r="K32" s="7" t="s">
        <v>62</v>
      </c>
      <c r="L32" s="7" t="s">
        <v>63</v>
      </c>
      <c r="M32" s="7" t="s">
        <v>64</v>
      </c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</row>
    <row r="33" spans="1:22" x14ac:dyDescent="0.25">
      <c r="A33" t="s">
        <v>41</v>
      </c>
      <c r="B33">
        <v>21</v>
      </c>
      <c r="C33">
        <v>27</v>
      </c>
      <c r="D33">
        <v>19</v>
      </c>
      <c r="E33">
        <v>30</v>
      </c>
      <c r="F33">
        <v>14</v>
      </c>
      <c r="G33">
        <v>22</v>
      </c>
      <c r="H33">
        <v>28</v>
      </c>
      <c r="I33">
        <v>11</v>
      </c>
      <c r="J33">
        <v>3</v>
      </c>
      <c r="K33">
        <v>19</v>
      </c>
      <c r="L33">
        <v>26</v>
      </c>
      <c r="M33">
        <v>17</v>
      </c>
    </row>
    <row r="34" spans="1:22" x14ac:dyDescent="0.25">
      <c r="A34" t="s">
        <v>42</v>
      </c>
      <c r="B34">
        <v>12</v>
      </c>
      <c r="C34">
        <v>5</v>
      </c>
      <c r="D34">
        <v>17</v>
      </c>
      <c r="E34">
        <v>12</v>
      </c>
      <c r="F34">
        <v>9</v>
      </c>
      <c r="G34">
        <v>26</v>
      </c>
      <c r="H34">
        <v>12</v>
      </c>
      <c r="I34">
        <v>15</v>
      </c>
      <c r="J34">
        <v>30</v>
      </c>
      <c r="K34">
        <v>4</v>
      </c>
      <c r="L34">
        <v>7</v>
      </c>
      <c r="M34">
        <v>8</v>
      </c>
    </row>
    <row r="35" spans="1:22" x14ac:dyDescent="0.25">
      <c r="A35" t="s">
        <v>43</v>
      </c>
      <c r="B35" s="4">
        <v>100</v>
      </c>
      <c r="C35" s="4">
        <v>101</v>
      </c>
      <c r="D35" s="4">
        <v>102</v>
      </c>
      <c r="E35" s="4">
        <v>103</v>
      </c>
      <c r="F35" s="4">
        <v>104</v>
      </c>
      <c r="G35" s="4">
        <v>105</v>
      </c>
      <c r="H35" s="4">
        <v>106</v>
      </c>
      <c r="I35" s="4">
        <v>107</v>
      </c>
      <c r="J35" s="4">
        <v>108</v>
      </c>
      <c r="K35" s="4">
        <v>109</v>
      </c>
      <c r="L35" s="4">
        <v>110</v>
      </c>
      <c r="M35" s="4">
        <v>111</v>
      </c>
    </row>
    <row r="36" spans="1:22" x14ac:dyDescent="0.25">
      <c r="A36" t="s">
        <v>44</v>
      </c>
      <c r="B36" s="4">
        <f>(B33*B35) - (B34*B35/2 )</f>
        <v>1500</v>
      </c>
      <c r="C36" s="4">
        <f t="shared" ref="C36:M36" si="8">(C33*C35) - (C34*C35/2 )</f>
        <v>2474.5</v>
      </c>
      <c r="D36" s="4">
        <f t="shared" si="8"/>
        <v>1071</v>
      </c>
      <c r="E36" s="4">
        <f t="shared" si="8"/>
        <v>2472</v>
      </c>
      <c r="F36" s="4">
        <f t="shared" si="8"/>
        <v>988</v>
      </c>
      <c r="G36" s="4">
        <f t="shared" si="8"/>
        <v>945</v>
      </c>
      <c r="H36" s="4">
        <f t="shared" si="8"/>
        <v>2332</v>
      </c>
      <c r="I36" s="4">
        <f t="shared" si="8"/>
        <v>374.5</v>
      </c>
      <c r="J36" s="4">
        <f t="shared" si="8"/>
        <v>-1296</v>
      </c>
      <c r="K36" s="4">
        <f t="shared" si="8"/>
        <v>1853</v>
      </c>
      <c r="L36" s="4">
        <f t="shared" si="8"/>
        <v>2475</v>
      </c>
      <c r="M36" s="4">
        <f t="shared" si="8"/>
        <v>1443</v>
      </c>
    </row>
    <row r="37" spans="1:22" x14ac:dyDescent="0.25">
      <c r="A37" t="s">
        <v>48</v>
      </c>
      <c r="B37">
        <v>12</v>
      </c>
      <c r="C37">
        <f>B40</f>
        <v>13</v>
      </c>
      <c r="D37">
        <f t="shared" ref="D37:M37" si="9">C40</f>
        <v>14</v>
      </c>
      <c r="E37">
        <f t="shared" si="9"/>
        <v>14</v>
      </c>
      <c r="F37">
        <f t="shared" si="9"/>
        <v>13</v>
      </c>
      <c r="G37">
        <f t="shared" si="9"/>
        <v>11</v>
      </c>
      <c r="H37">
        <f t="shared" si="9"/>
        <v>8</v>
      </c>
      <c r="I37">
        <f t="shared" si="9"/>
        <v>4</v>
      </c>
      <c r="J37">
        <f t="shared" si="9"/>
        <v>-1</v>
      </c>
      <c r="K37">
        <f t="shared" si="9"/>
        <v>-7</v>
      </c>
      <c r="L37">
        <f t="shared" si="9"/>
        <v>-14</v>
      </c>
      <c r="M37">
        <f t="shared" si="9"/>
        <v>-22</v>
      </c>
    </row>
    <row r="38" spans="1:22" x14ac:dyDescent="0.25">
      <c r="A38" t="s">
        <v>38</v>
      </c>
      <c r="B38">
        <v>2</v>
      </c>
      <c r="C38">
        <v>3</v>
      </c>
      <c r="D38">
        <v>3</v>
      </c>
      <c r="E38">
        <v>3</v>
      </c>
      <c r="F38">
        <v>3</v>
      </c>
      <c r="G38">
        <v>3</v>
      </c>
      <c r="H38">
        <v>3</v>
      </c>
      <c r="I38">
        <v>3</v>
      </c>
      <c r="J38">
        <v>3</v>
      </c>
      <c r="K38">
        <v>3</v>
      </c>
      <c r="L38">
        <v>3</v>
      </c>
      <c r="M38">
        <v>3</v>
      </c>
    </row>
    <row r="39" spans="1:22" x14ac:dyDescent="0.25">
      <c r="A39" t="s">
        <v>39</v>
      </c>
      <c r="B39">
        <v>1</v>
      </c>
      <c r="C39">
        <v>2</v>
      </c>
      <c r="D39">
        <v>3</v>
      </c>
      <c r="E39">
        <v>4</v>
      </c>
      <c r="F39">
        <v>5</v>
      </c>
      <c r="G39">
        <v>6</v>
      </c>
      <c r="H39">
        <v>7</v>
      </c>
      <c r="I39">
        <v>8</v>
      </c>
      <c r="J39">
        <v>9</v>
      </c>
      <c r="K39">
        <v>10</v>
      </c>
      <c r="L39">
        <v>11</v>
      </c>
      <c r="M39">
        <v>12</v>
      </c>
    </row>
    <row r="40" spans="1:22" x14ac:dyDescent="0.25">
      <c r="A40" t="s">
        <v>40</v>
      </c>
      <c r="B40">
        <f>B37+B38-B39</f>
        <v>13</v>
      </c>
      <c r="C40">
        <f t="shared" ref="C40:M40" si="10">C37+C38-C39</f>
        <v>14</v>
      </c>
      <c r="D40">
        <f t="shared" si="10"/>
        <v>14</v>
      </c>
      <c r="E40">
        <f t="shared" si="10"/>
        <v>13</v>
      </c>
      <c r="F40">
        <f t="shared" si="10"/>
        <v>11</v>
      </c>
      <c r="G40">
        <f t="shared" si="10"/>
        <v>8</v>
      </c>
      <c r="H40">
        <f t="shared" si="10"/>
        <v>4</v>
      </c>
      <c r="I40">
        <f t="shared" si="10"/>
        <v>-1</v>
      </c>
      <c r="J40">
        <f t="shared" si="10"/>
        <v>-7</v>
      </c>
      <c r="K40">
        <f t="shared" si="10"/>
        <v>-14</v>
      </c>
      <c r="L40">
        <f t="shared" si="10"/>
        <v>-22</v>
      </c>
      <c r="M40">
        <f t="shared" si="10"/>
        <v>-31</v>
      </c>
    </row>
    <row r="41" spans="1:22" x14ac:dyDescent="0.25">
      <c r="A41" t="s">
        <v>45</v>
      </c>
      <c r="B41" s="4">
        <f>B40*15</f>
        <v>195</v>
      </c>
      <c r="C41" s="4">
        <f t="shared" ref="C41:M41" si="11">C40*15</f>
        <v>210</v>
      </c>
      <c r="D41" s="4">
        <f t="shared" si="11"/>
        <v>210</v>
      </c>
      <c r="E41" s="4">
        <f t="shared" si="11"/>
        <v>195</v>
      </c>
      <c r="F41" s="4">
        <f t="shared" si="11"/>
        <v>165</v>
      </c>
      <c r="G41" s="4">
        <f t="shared" si="11"/>
        <v>120</v>
      </c>
      <c r="H41" s="4">
        <f t="shared" si="11"/>
        <v>60</v>
      </c>
      <c r="I41" s="4">
        <f t="shared" si="11"/>
        <v>-15</v>
      </c>
      <c r="J41" s="4">
        <f t="shared" si="11"/>
        <v>-105</v>
      </c>
      <c r="K41" s="4">
        <f t="shared" si="11"/>
        <v>-210</v>
      </c>
      <c r="L41" s="4">
        <f t="shared" si="11"/>
        <v>-330</v>
      </c>
      <c r="M41" s="4">
        <f t="shared" si="11"/>
        <v>-465</v>
      </c>
    </row>
    <row r="42" spans="1:22" x14ac:dyDescent="0.25">
      <c r="A42" t="s">
        <v>21</v>
      </c>
      <c r="B42" s="4">
        <f>B36-B41</f>
        <v>1305</v>
      </c>
      <c r="C42" s="4">
        <f t="shared" ref="C42:M42" si="12">C36-C41</f>
        <v>2264.5</v>
      </c>
      <c r="D42" s="4">
        <f t="shared" si="12"/>
        <v>861</v>
      </c>
      <c r="E42" s="4">
        <f t="shared" si="12"/>
        <v>2277</v>
      </c>
      <c r="F42" s="4">
        <f t="shared" si="12"/>
        <v>823</v>
      </c>
      <c r="G42" s="4">
        <f t="shared" si="12"/>
        <v>825</v>
      </c>
      <c r="H42" s="4">
        <f t="shared" si="12"/>
        <v>2272</v>
      </c>
      <c r="I42" s="4">
        <f t="shared" si="12"/>
        <v>389.5</v>
      </c>
      <c r="J42" s="4">
        <f t="shared" si="12"/>
        <v>-1191</v>
      </c>
      <c r="K42" s="4">
        <f t="shared" si="12"/>
        <v>2063</v>
      </c>
      <c r="L42" s="4">
        <f t="shared" si="12"/>
        <v>2805</v>
      </c>
      <c r="M42" s="4">
        <f t="shared" si="12"/>
        <v>1908</v>
      </c>
    </row>
    <row r="43" spans="1:22" x14ac:dyDescent="0.25">
      <c r="A43" t="s">
        <v>46</v>
      </c>
      <c r="B43" s="4">
        <v>100</v>
      </c>
      <c r="C43" s="4">
        <v>105</v>
      </c>
      <c r="D43" s="4">
        <v>110</v>
      </c>
      <c r="E43" s="4">
        <v>115</v>
      </c>
      <c r="F43" s="4">
        <v>120</v>
      </c>
      <c r="G43" s="4">
        <v>125</v>
      </c>
      <c r="H43" s="4">
        <v>130</v>
      </c>
      <c r="I43" s="4">
        <v>135</v>
      </c>
      <c r="J43" s="4">
        <v>140</v>
      </c>
      <c r="K43" s="4">
        <v>145</v>
      </c>
      <c r="L43" s="4">
        <v>150</v>
      </c>
      <c r="M43" s="4">
        <v>155</v>
      </c>
    </row>
    <row r="44" spans="1:22" x14ac:dyDescent="0.25">
      <c r="A44" t="s">
        <v>50</v>
      </c>
      <c r="B44" s="9">
        <v>1.1000000000000001</v>
      </c>
      <c r="C44">
        <v>1.2</v>
      </c>
      <c r="D44">
        <v>1.4</v>
      </c>
      <c r="E44" s="9">
        <v>1.5333333333333301</v>
      </c>
      <c r="F44">
        <v>1.68333333333333</v>
      </c>
      <c r="G44">
        <v>1.8333333333333299</v>
      </c>
      <c r="H44" s="9">
        <v>1.9833333333333301</v>
      </c>
      <c r="I44">
        <v>2.1333333333333302</v>
      </c>
      <c r="J44">
        <v>2.2833333333333301</v>
      </c>
      <c r="K44" s="9">
        <v>2.43333333333333</v>
      </c>
      <c r="L44">
        <v>2.5833333333333299</v>
      </c>
      <c r="M44">
        <v>2.7333333333333298</v>
      </c>
    </row>
    <row r="45" spans="1:22" x14ac:dyDescent="0.25">
      <c r="A45" t="s">
        <v>47</v>
      </c>
      <c r="B45" s="4">
        <f>B42-B43*B44</f>
        <v>1195</v>
      </c>
      <c r="C45" s="4">
        <f t="shared" ref="C45:M45" si="13">C42-C43*C44</f>
        <v>2138.5</v>
      </c>
      <c r="D45" s="4">
        <f t="shared" si="13"/>
        <v>707</v>
      </c>
      <c r="E45" s="4">
        <f t="shared" si="13"/>
        <v>2100.666666666667</v>
      </c>
      <c r="F45" s="4">
        <f t="shared" si="13"/>
        <v>621.00000000000045</v>
      </c>
      <c r="G45" s="4">
        <f t="shared" si="13"/>
        <v>595.83333333333371</v>
      </c>
      <c r="H45" s="4">
        <f t="shared" si="13"/>
        <v>2014.166666666667</v>
      </c>
      <c r="I45" s="4">
        <f t="shared" si="13"/>
        <v>101.5000000000004</v>
      </c>
      <c r="J45" s="4">
        <f t="shared" si="13"/>
        <v>-1510.6666666666663</v>
      </c>
      <c r="K45" s="4">
        <f t="shared" si="13"/>
        <v>1710.1666666666672</v>
      </c>
      <c r="L45" s="4">
        <f t="shared" si="13"/>
        <v>2417.5000000000005</v>
      </c>
      <c r="M45" s="4">
        <f t="shared" si="13"/>
        <v>1484.3333333333339</v>
      </c>
    </row>
    <row r="46" spans="1:22" x14ac:dyDescent="0.25">
      <c r="A46" t="s">
        <v>49</v>
      </c>
      <c r="B46" s="4">
        <f>B45</f>
        <v>1195</v>
      </c>
      <c r="C46" s="4">
        <f>B46+C45</f>
        <v>3333.5</v>
      </c>
      <c r="D46" s="4">
        <f t="shared" ref="D46:M46" si="14">C46+D45</f>
        <v>4040.5</v>
      </c>
      <c r="E46" s="4">
        <f t="shared" si="14"/>
        <v>6141.166666666667</v>
      </c>
      <c r="F46" s="4">
        <f t="shared" si="14"/>
        <v>6762.1666666666679</v>
      </c>
      <c r="G46" s="4">
        <f t="shared" si="14"/>
        <v>7358.0000000000018</v>
      </c>
      <c r="H46" s="4">
        <f t="shared" si="14"/>
        <v>9372.1666666666679</v>
      </c>
      <c r="I46" s="4">
        <f t="shared" si="14"/>
        <v>9473.6666666666679</v>
      </c>
      <c r="J46" s="4">
        <f t="shared" si="14"/>
        <v>7963.0000000000018</v>
      </c>
      <c r="K46" s="4">
        <f t="shared" si="14"/>
        <v>9673.1666666666697</v>
      </c>
      <c r="L46" s="4">
        <f t="shared" si="14"/>
        <v>12090.66666666667</v>
      </c>
      <c r="M46" s="4">
        <f t="shared" si="14"/>
        <v>13575.000000000004</v>
      </c>
    </row>
    <row r="48" spans="1:22" x14ac:dyDescent="0.25">
      <c r="A48" t="s">
        <v>65</v>
      </c>
      <c r="B48" t="s">
        <v>66</v>
      </c>
      <c r="C48" t="s">
        <v>67</v>
      </c>
      <c r="D48" t="s">
        <v>68</v>
      </c>
      <c r="E48" t="s">
        <v>69</v>
      </c>
      <c r="F48" t="s">
        <v>70</v>
      </c>
      <c r="G48" t="s">
        <v>71</v>
      </c>
      <c r="H48" t="s">
        <v>72</v>
      </c>
      <c r="I48" t="s">
        <v>73</v>
      </c>
      <c r="J48" t="s">
        <v>74</v>
      </c>
      <c r="K48" t="s">
        <v>75</v>
      </c>
      <c r="L48" t="s">
        <v>76</v>
      </c>
      <c r="M48" t="s">
        <v>77</v>
      </c>
      <c r="N48" t="s">
        <v>78</v>
      </c>
      <c r="O48" t="s">
        <v>79</v>
      </c>
      <c r="P48" t="s">
        <v>80</v>
      </c>
      <c r="Q48" t="s">
        <v>81</v>
      </c>
      <c r="R48" t="s">
        <v>82</v>
      </c>
      <c r="S48" t="s">
        <v>83</v>
      </c>
      <c r="T48" t="s">
        <v>84</v>
      </c>
      <c r="U48" t="s">
        <v>85</v>
      </c>
      <c r="V48" t="s">
        <v>86</v>
      </c>
    </row>
    <row r="49" spans="1:22" x14ac:dyDescent="0.25">
      <c r="A49" t="s">
        <v>52</v>
      </c>
      <c r="B49">
        <v>-10</v>
      </c>
      <c r="C49">
        <v>-9</v>
      </c>
      <c r="D49">
        <v>-8</v>
      </c>
      <c r="E49">
        <v>-7</v>
      </c>
      <c r="F49">
        <v>-6</v>
      </c>
      <c r="G49">
        <v>-5</v>
      </c>
      <c r="H49">
        <v>-4</v>
      </c>
      <c r="I49">
        <v>-3</v>
      </c>
      <c r="J49">
        <v>-2</v>
      </c>
      <c r="K49">
        <v>-1</v>
      </c>
      <c r="L49">
        <v>0</v>
      </c>
      <c r="M49">
        <v>1</v>
      </c>
      <c r="N49">
        <v>2</v>
      </c>
      <c r="O49">
        <v>3</v>
      </c>
      <c r="P49">
        <v>4</v>
      </c>
      <c r="Q49">
        <v>5</v>
      </c>
      <c r="R49">
        <v>6</v>
      </c>
      <c r="S49">
        <v>7</v>
      </c>
      <c r="T49">
        <v>8</v>
      </c>
      <c r="U49">
        <v>9</v>
      </c>
      <c r="V49">
        <v>10</v>
      </c>
    </row>
    <row r="50" spans="1:22" x14ac:dyDescent="0.25">
      <c r="A50" t="s">
        <v>51</v>
      </c>
      <c r="B50">
        <f>B49^2</f>
        <v>100</v>
      </c>
      <c r="C50">
        <f t="shared" ref="C50:V50" si="15">C49^2</f>
        <v>81</v>
      </c>
      <c r="D50">
        <f t="shared" si="15"/>
        <v>64</v>
      </c>
      <c r="E50">
        <f t="shared" si="15"/>
        <v>49</v>
      </c>
      <c r="F50">
        <f t="shared" si="15"/>
        <v>36</v>
      </c>
      <c r="G50">
        <f t="shared" si="15"/>
        <v>25</v>
      </c>
      <c r="H50">
        <f t="shared" si="15"/>
        <v>16</v>
      </c>
      <c r="I50">
        <f t="shared" si="15"/>
        <v>9</v>
      </c>
      <c r="J50">
        <f t="shared" si="15"/>
        <v>4</v>
      </c>
      <c r="K50">
        <f t="shared" si="15"/>
        <v>1</v>
      </c>
      <c r="L50">
        <f t="shared" si="15"/>
        <v>0</v>
      </c>
      <c r="M50">
        <f t="shared" si="15"/>
        <v>1</v>
      </c>
      <c r="N50">
        <f t="shared" si="15"/>
        <v>4</v>
      </c>
      <c r="O50">
        <f t="shared" si="15"/>
        <v>9</v>
      </c>
      <c r="P50">
        <f t="shared" si="15"/>
        <v>16</v>
      </c>
      <c r="Q50">
        <f t="shared" si="15"/>
        <v>25</v>
      </c>
      <c r="R50">
        <f t="shared" si="15"/>
        <v>36</v>
      </c>
      <c r="S50">
        <f t="shared" si="15"/>
        <v>49</v>
      </c>
      <c r="T50">
        <f t="shared" si="15"/>
        <v>64</v>
      </c>
      <c r="U50">
        <f t="shared" si="15"/>
        <v>81</v>
      </c>
      <c r="V50">
        <f t="shared" si="15"/>
        <v>100</v>
      </c>
    </row>
    <row r="67" spans="1:22" x14ac:dyDescent="0.25">
      <c r="A67" t="s">
        <v>65</v>
      </c>
      <c r="B67" t="s">
        <v>66</v>
      </c>
      <c r="C67" t="s">
        <v>67</v>
      </c>
      <c r="D67" t="s">
        <v>68</v>
      </c>
      <c r="E67" t="s">
        <v>69</v>
      </c>
      <c r="F67" t="s">
        <v>70</v>
      </c>
      <c r="G67" t="s">
        <v>71</v>
      </c>
      <c r="H67" t="s">
        <v>72</v>
      </c>
      <c r="I67" t="s">
        <v>73</v>
      </c>
      <c r="J67" t="s">
        <v>74</v>
      </c>
      <c r="K67" t="s">
        <v>75</v>
      </c>
      <c r="L67" t="s">
        <v>76</v>
      </c>
      <c r="M67" t="s">
        <v>77</v>
      </c>
      <c r="N67" t="s">
        <v>78</v>
      </c>
      <c r="O67" t="s">
        <v>79</v>
      </c>
      <c r="P67" t="s">
        <v>80</v>
      </c>
      <c r="Q67" t="s">
        <v>81</v>
      </c>
      <c r="R67" t="s">
        <v>82</v>
      </c>
      <c r="S67" t="s">
        <v>83</v>
      </c>
      <c r="T67" t="s">
        <v>84</v>
      </c>
      <c r="U67" t="s">
        <v>85</v>
      </c>
      <c r="V67" t="s">
        <v>86</v>
      </c>
    </row>
    <row r="68" spans="1:22" x14ac:dyDescent="0.25">
      <c r="A68" t="s">
        <v>52</v>
      </c>
      <c r="B68">
        <v>-10</v>
      </c>
      <c r="C68">
        <v>-9</v>
      </c>
      <c r="D68">
        <v>-8</v>
      </c>
      <c r="E68">
        <v>-7</v>
      </c>
      <c r="F68">
        <v>-6</v>
      </c>
      <c r="G68">
        <v>-5</v>
      </c>
      <c r="H68">
        <v>-4</v>
      </c>
      <c r="I68">
        <v>-3</v>
      </c>
      <c r="J68">
        <v>-2</v>
      </c>
      <c r="K68">
        <v>-1</v>
      </c>
      <c r="L68">
        <v>0</v>
      </c>
      <c r="M68">
        <v>1</v>
      </c>
      <c r="N68">
        <v>2</v>
      </c>
      <c r="O68">
        <v>3</v>
      </c>
      <c r="P68">
        <v>4</v>
      </c>
      <c r="Q68">
        <v>5</v>
      </c>
      <c r="R68">
        <v>6</v>
      </c>
      <c r="S68">
        <v>7</v>
      </c>
      <c r="T68">
        <v>8</v>
      </c>
      <c r="U68">
        <v>9</v>
      </c>
      <c r="V68">
        <v>10</v>
      </c>
    </row>
    <row r="69" spans="1:22" x14ac:dyDescent="0.25">
      <c r="A69" t="s">
        <v>51</v>
      </c>
      <c r="B69">
        <f>B68^3</f>
        <v>-1000</v>
      </c>
      <c r="C69">
        <f t="shared" ref="C69:V69" si="16">C68^3</f>
        <v>-729</v>
      </c>
      <c r="D69">
        <f t="shared" si="16"/>
        <v>-512</v>
      </c>
      <c r="E69">
        <f t="shared" si="16"/>
        <v>-343</v>
      </c>
      <c r="F69">
        <f t="shared" si="16"/>
        <v>-216</v>
      </c>
      <c r="G69">
        <f t="shared" si="16"/>
        <v>-125</v>
      </c>
      <c r="H69">
        <f t="shared" si="16"/>
        <v>-64</v>
      </c>
      <c r="I69">
        <f t="shared" si="16"/>
        <v>-27</v>
      </c>
      <c r="J69">
        <f t="shared" si="16"/>
        <v>-8</v>
      </c>
      <c r="K69">
        <f t="shared" si="16"/>
        <v>-1</v>
      </c>
      <c r="L69">
        <f t="shared" si="16"/>
        <v>0</v>
      </c>
      <c r="M69">
        <f t="shared" si="16"/>
        <v>1</v>
      </c>
      <c r="N69">
        <f t="shared" si="16"/>
        <v>8</v>
      </c>
      <c r="O69">
        <f t="shared" si="16"/>
        <v>27</v>
      </c>
      <c r="P69">
        <f t="shared" si="16"/>
        <v>64</v>
      </c>
      <c r="Q69">
        <f t="shared" si="16"/>
        <v>125</v>
      </c>
      <c r="R69">
        <f t="shared" si="16"/>
        <v>216</v>
      </c>
      <c r="S69">
        <f t="shared" si="16"/>
        <v>343</v>
      </c>
      <c r="T69">
        <f t="shared" si="16"/>
        <v>512</v>
      </c>
      <c r="U69">
        <f t="shared" si="16"/>
        <v>729</v>
      </c>
      <c r="V69">
        <f t="shared" si="16"/>
        <v>1000</v>
      </c>
    </row>
    <row r="85" spans="1:22" x14ac:dyDescent="0.25">
      <c r="A85" t="s">
        <v>65</v>
      </c>
      <c r="B85" t="s">
        <v>66</v>
      </c>
      <c r="C85" t="s">
        <v>67</v>
      </c>
      <c r="D85" t="s">
        <v>68</v>
      </c>
      <c r="E85" t="s">
        <v>69</v>
      </c>
      <c r="F85" t="s">
        <v>70</v>
      </c>
      <c r="G85" t="s">
        <v>71</v>
      </c>
      <c r="H85" t="s">
        <v>72</v>
      </c>
      <c r="I85" t="s">
        <v>73</v>
      </c>
      <c r="J85" t="s">
        <v>74</v>
      </c>
      <c r="K85" t="s">
        <v>75</v>
      </c>
      <c r="L85" t="s">
        <v>76</v>
      </c>
      <c r="M85" t="s">
        <v>77</v>
      </c>
      <c r="N85" t="s">
        <v>78</v>
      </c>
      <c r="O85" t="s">
        <v>79</v>
      </c>
      <c r="P85" t="s">
        <v>80</v>
      </c>
      <c r="Q85" t="s">
        <v>81</v>
      </c>
      <c r="R85" t="s">
        <v>82</v>
      </c>
      <c r="S85" t="s">
        <v>83</v>
      </c>
      <c r="T85" t="s">
        <v>84</v>
      </c>
      <c r="U85" t="s">
        <v>85</v>
      </c>
      <c r="V85" t="s">
        <v>86</v>
      </c>
    </row>
    <row r="86" spans="1:22" x14ac:dyDescent="0.25">
      <c r="A86" t="s">
        <v>52</v>
      </c>
      <c r="B86">
        <v>-10</v>
      </c>
      <c r="C86">
        <v>-9</v>
      </c>
      <c r="D86">
        <v>-8</v>
      </c>
      <c r="E86">
        <v>-7</v>
      </c>
      <c r="F86">
        <v>-6</v>
      </c>
      <c r="G86">
        <v>-5</v>
      </c>
      <c r="H86">
        <v>-4</v>
      </c>
      <c r="I86">
        <v>-3</v>
      </c>
      <c r="J86">
        <v>-2</v>
      </c>
      <c r="K86">
        <v>-1</v>
      </c>
      <c r="L86">
        <v>0</v>
      </c>
      <c r="M86">
        <v>1</v>
      </c>
      <c r="N86">
        <v>2</v>
      </c>
      <c r="O86">
        <v>3</v>
      </c>
      <c r="P86">
        <v>4</v>
      </c>
      <c r="Q86">
        <v>5</v>
      </c>
      <c r="R86">
        <v>6</v>
      </c>
      <c r="S86">
        <v>7</v>
      </c>
      <c r="T86">
        <v>8</v>
      </c>
      <c r="U86">
        <v>9</v>
      </c>
      <c r="V86">
        <v>10</v>
      </c>
    </row>
    <row r="87" spans="1:22" x14ac:dyDescent="0.25">
      <c r="A87" t="s">
        <v>51</v>
      </c>
      <c r="B87">
        <f>B86*2</f>
        <v>-20</v>
      </c>
      <c r="C87">
        <f t="shared" ref="C87:V87" si="17">C86*2</f>
        <v>-18</v>
      </c>
      <c r="D87">
        <f t="shared" si="17"/>
        <v>-16</v>
      </c>
      <c r="E87">
        <f t="shared" si="17"/>
        <v>-14</v>
      </c>
      <c r="F87">
        <f t="shared" si="17"/>
        <v>-12</v>
      </c>
      <c r="G87">
        <f t="shared" si="17"/>
        <v>-10</v>
      </c>
      <c r="H87">
        <f t="shared" si="17"/>
        <v>-8</v>
      </c>
      <c r="I87">
        <f t="shared" si="17"/>
        <v>-6</v>
      </c>
      <c r="J87">
        <f t="shared" si="17"/>
        <v>-4</v>
      </c>
      <c r="K87">
        <f t="shared" si="17"/>
        <v>-2</v>
      </c>
      <c r="L87">
        <f t="shared" si="17"/>
        <v>0</v>
      </c>
      <c r="M87">
        <f t="shared" si="17"/>
        <v>2</v>
      </c>
      <c r="N87">
        <f t="shared" si="17"/>
        <v>4</v>
      </c>
      <c r="O87">
        <f t="shared" si="17"/>
        <v>6</v>
      </c>
      <c r="P87">
        <f t="shared" si="17"/>
        <v>8</v>
      </c>
      <c r="Q87">
        <f t="shared" si="17"/>
        <v>10</v>
      </c>
      <c r="R87">
        <f t="shared" si="17"/>
        <v>12</v>
      </c>
      <c r="S87">
        <f t="shared" si="17"/>
        <v>14</v>
      </c>
      <c r="T87">
        <f t="shared" si="17"/>
        <v>16</v>
      </c>
      <c r="U87">
        <f t="shared" si="17"/>
        <v>18</v>
      </c>
      <c r="V87">
        <f t="shared" si="17"/>
        <v>20</v>
      </c>
    </row>
    <row r="103" spans="1:9" x14ac:dyDescent="0.25">
      <c r="A103" t="s">
        <v>94</v>
      </c>
      <c r="B103" t="s">
        <v>108</v>
      </c>
      <c r="C103" t="s">
        <v>109</v>
      </c>
      <c r="D103" t="s">
        <v>110</v>
      </c>
      <c r="E103" t="s">
        <v>111</v>
      </c>
      <c r="F103" t="s">
        <v>112</v>
      </c>
      <c r="G103" t="s">
        <v>113</v>
      </c>
      <c r="H103" t="s">
        <v>114</v>
      </c>
      <c r="I103" t="s">
        <v>115</v>
      </c>
    </row>
    <row r="104" spans="1:9" x14ac:dyDescent="0.25">
      <c r="A104" t="s">
        <v>116</v>
      </c>
      <c r="B104">
        <v>1</v>
      </c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</row>
    <row r="105" spans="1:9" x14ac:dyDescent="0.25">
      <c r="A105" t="s">
        <v>96</v>
      </c>
      <c r="B105" s="9">
        <v>0</v>
      </c>
    </row>
    <row r="106" spans="1:9" x14ac:dyDescent="0.25">
      <c r="A106" t="s">
        <v>97</v>
      </c>
      <c r="B106" s="9">
        <v>0</v>
      </c>
    </row>
    <row r="107" spans="1:9" x14ac:dyDescent="0.25">
      <c r="A107" t="s">
        <v>98</v>
      </c>
      <c r="B107" s="9">
        <v>3</v>
      </c>
    </row>
    <row r="108" spans="1:9" x14ac:dyDescent="0.25">
      <c r="A108" t="s">
        <v>89</v>
      </c>
      <c r="B108" s="9">
        <v>3.141</v>
      </c>
    </row>
    <row r="109" spans="1:9" x14ac:dyDescent="0.25">
      <c r="A109" t="s">
        <v>90</v>
      </c>
      <c r="B109" s="9">
        <v>3</v>
      </c>
    </row>
    <row r="110" spans="1:9" x14ac:dyDescent="0.25">
      <c r="A110" t="s">
        <v>91</v>
      </c>
      <c r="B110" s="9">
        <v>3</v>
      </c>
    </row>
    <row r="111" spans="1:9" x14ac:dyDescent="0.25">
      <c r="A111" t="s">
        <v>88</v>
      </c>
      <c r="B111" s="9">
        <v>5</v>
      </c>
    </row>
    <row r="112" spans="1:9" x14ac:dyDescent="0.25">
      <c r="A112" t="s">
        <v>52</v>
      </c>
      <c r="B112" s="9">
        <v>1</v>
      </c>
      <c r="C112" s="9">
        <v>1</v>
      </c>
      <c r="D112" s="9">
        <v>-1</v>
      </c>
      <c r="E112" s="9">
        <v>-1</v>
      </c>
      <c r="F112" s="9">
        <v>1</v>
      </c>
      <c r="G112" s="9">
        <v>1</v>
      </c>
      <c r="H112" s="9">
        <v>-1</v>
      </c>
      <c r="I112" s="9">
        <v>-1</v>
      </c>
    </row>
    <row r="113" spans="1:9" x14ac:dyDescent="0.25">
      <c r="A113" t="s">
        <v>51</v>
      </c>
      <c r="B113" s="9">
        <v>1</v>
      </c>
      <c r="C113" s="9">
        <v>-1</v>
      </c>
      <c r="D113" s="9">
        <v>1</v>
      </c>
      <c r="E113" s="9">
        <v>-1</v>
      </c>
      <c r="F113" s="9">
        <v>1</v>
      </c>
      <c r="G113" s="9">
        <v>-1</v>
      </c>
      <c r="H113" s="9">
        <v>1</v>
      </c>
      <c r="I113" s="9">
        <v>-1</v>
      </c>
    </row>
    <row r="114" spans="1:9" x14ac:dyDescent="0.25">
      <c r="A114" t="s">
        <v>87</v>
      </c>
      <c r="B114" s="9">
        <v>1</v>
      </c>
      <c r="C114" s="9">
        <v>1</v>
      </c>
      <c r="D114" s="9">
        <v>1</v>
      </c>
      <c r="E114" s="9">
        <v>1</v>
      </c>
      <c r="F114" s="9">
        <v>-1</v>
      </c>
      <c r="G114" s="9">
        <v>-1</v>
      </c>
      <c r="H114" s="9">
        <v>-1</v>
      </c>
      <c r="I114" s="9">
        <v>-1</v>
      </c>
    </row>
    <row r="115" spans="1:9" x14ac:dyDescent="0.25">
      <c r="A115" t="s">
        <v>105</v>
      </c>
      <c r="B115" s="9">
        <f>B112-$B$105</f>
        <v>1</v>
      </c>
      <c r="C115" s="9">
        <f t="shared" ref="C115:I115" si="18">C112-$B$105</f>
        <v>1</v>
      </c>
      <c r="D115" s="9">
        <f t="shared" si="18"/>
        <v>-1</v>
      </c>
      <c r="E115" s="9">
        <f t="shared" si="18"/>
        <v>-1</v>
      </c>
      <c r="F115" s="9">
        <f t="shared" si="18"/>
        <v>1</v>
      </c>
      <c r="G115" s="9">
        <f t="shared" si="18"/>
        <v>1</v>
      </c>
      <c r="H115" s="9">
        <f t="shared" si="18"/>
        <v>-1</v>
      </c>
      <c r="I115" s="9">
        <f t="shared" si="18"/>
        <v>-1</v>
      </c>
    </row>
    <row r="116" spans="1:9" x14ac:dyDescent="0.25">
      <c r="A116" t="s">
        <v>106</v>
      </c>
      <c r="B116" s="9">
        <f>B113-$B$106</f>
        <v>1</v>
      </c>
      <c r="C116" s="9">
        <f t="shared" ref="C116:I116" si="19">C113-$B$106</f>
        <v>-1</v>
      </c>
      <c r="D116" s="9">
        <f t="shared" si="19"/>
        <v>1</v>
      </c>
      <c r="E116" s="9">
        <f t="shared" si="19"/>
        <v>-1</v>
      </c>
      <c r="F116" s="9">
        <f t="shared" si="19"/>
        <v>1</v>
      </c>
      <c r="G116" s="9">
        <f t="shared" si="19"/>
        <v>-1</v>
      </c>
      <c r="H116" s="9">
        <f t="shared" si="19"/>
        <v>1</v>
      </c>
      <c r="I116" s="9">
        <f t="shared" si="19"/>
        <v>-1</v>
      </c>
    </row>
    <row r="117" spans="1:9" x14ac:dyDescent="0.25">
      <c r="A117" t="s">
        <v>107</v>
      </c>
      <c r="B117" s="9">
        <f>B114-$B$107</f>
        <v>-2</v>
      </c>
      <c r="C117" s="9">
        <f>C114-$B$107</f>
        <v>-2</v>
      </c>
      <c r="D117" s="9">
        <f t="shared" ref="D117:I117" si="20">D114-$B$107</f>
        <v>-2</v>
      </c>
      <c r="E117" s="9">
        <f t="shared" si="20"/>
        <v>-2</v>
      </c>
      <c r="F117" s="9">
        <f t="shared" si="20"/>
        <v>-4</v>
      </c>
      <c r="G117" s="9">
        <f t="shared" si="20"/>
        <v>-4</v>
      </c>
      <c r="H117" s="9">
        <f t="shared" si="20"/>
        <v>-4</v>
      </c>
      <c r="I117" s="9">
        <f t="shared" si="20"/>
        <v>-4</v>
      </c>
    </row>
    <row r="118" spans="1:9" x14ac:dyDescent="0.25">
      <c r="A118" t="s">
        <v>99</v>
      </c>
      <c r="B118">
        <f>B115*SIN(RADIANS($B$108))</f>
        <v>5.4793336934508059E-2</v>
      </c>
      <c r="C118">
        <f t="shared" ref="C118:I118" si="21">C115*SIN(RADIANS($B$108))</f>
        <v>5.4793336934508059E-2</v>
      </c>
      <c r="D118">
        <f t="shared" si="21"/>
        <v>-5.4793336934508059E-2</v>
      </c>
      <c r="E118">
        <f t="shared" si="21"/>
        <v>-5.4793336934508059E-2</v>
      </c>
      <c r="F118">
        <f t="shared" si="21"/>
        <v>5.4793336934508059E-2</v>
      </c>
      <c r="G118">
        <f t="shared" si="21"/>
        <v>5.4793336934508059E-2</v>
      </c>
      <c r="H118">
        <f t="shared" si="21"/>
        <v>-5.4793336934508059E-2</v>
      </c>
      <c r="I118">
        <f t="shared" si="21"/>
        <v>-5.4793336934508059E-2</v>
      </c>
    </row>
    <row r="119" spans="1:9" x14ac:dyDescent="0.25">
      <c r="A119" t="s">
        <v>92</v>
      </c>
      <c r="B119">
        <f>B117*COS(RADIANS($B$110))</f>
        <v>-1.9972590695091477</v>
      </c>
      <c r="C119">
        <f t="shared" ref="C119:I119" si="22">C117*COS(RADIANS($B$110))</f>
        <v>-1.9972590695091477</v>
      </c>
      <c r="D119">
        <f t="shared" si="22"/>
        <v>-1.9972590695091477</v>
      </c>
      <c r="E119">
        <f t="shared" si="22"/>
        <v>-1.9972590695091477</v>
      </c>
      <c r="F119">
        <f t="shared" si="22"/>
        <v>-3.9945181390182953</v>
      </c>
      <c r="G119">
        <f t="shared" si="22"/>
        <v>-3.9945181390182953</v>
      </c>
      <c r="H119">
        <f t="shared" si="22"/>
        <v>-3.9945181390182953</v>
      </c>
      <c r="I119">
        <f t="shared" si="22"/>
        <v>-3.9945181390182953</v>
      </c>
    </row>
    <row r="120" spans="1:9" x14ac:dyDescent="0.25">
      <c r="A120" t="s">
        <v>100</v>
      </c>
      <c r="B120">
        <f>B116*SIN(RADIANS($B$109))</f>
        <v>5.2335956242943835E-2</v>
      </c>
      <c r="C120">
        <f t="shared" ref="C120:I120" si="23">C116*SIN(RADIANS($B$109))</f>
        <v>-5.2335956242943835E-2</v>
      </c>
      <c r="D120">
        <f t="shared" si="23"/>
        <v>5.2335956242943835E-2</v>
      </c>
      <c r="E120">
        <f t="shared" si="23"/>
        <v>-5.2335956242943835E-2</v>
      </c>
      <c r="F120">
        <f t="shared" si="23"/>
        <v>5.2335956242943835E-2</v>
      </c>
      <c r="G120">
        <f t="shared" si="23"/>
        <v>-5.2335956242943835E-2</v>
      </c>
      <c r="H120">
        <f t="shared" si="23"/>
        <v>5.2335956242943835E-2</v>
      </c>
      <c r="I120">
        <f t="shared" si="23"/>
        <v>-5.2335956242943835E-2</v>
      </c>
    </row>
    <row r="121" spans="1:9" x14ac:dyDescent="0.25">
      <c r="A121" t="s">
        <v>93</v>
      </c>
      <c r="B121">
        <f>B117*COS(RADIANS($B$119))</f>
        <v>-1.9987849908135933</v>
      </c>
      <c r="C121">
        <f t="shared" ref="C121:I121" si="24">C117*COS(RADIANS($B$119))</f>
        <v>-1.9987849908135933</v>
      </c>
      <c r="D121">
        <f t="shared" si="24"/>
        <v>-1.9987849908135933</v>
      </c>
      <c r="E121">
        <f t="shared" si="24"/>
        <v>-1.9987849908135933</v>
      </c>
      <c r="F121">
        <f t="shared" si="24"/>
        <v>-3.9975699816271866</v>
      </c>
      <c r="G121">
        <f t="shared" si="24"/>
        <v>-3.9975699816271866</v>
      </c>
      <c r="H121">
        <f t="shared" si="24"/>
        <v>-3.9975699816271866</v>
      </c>
      <c r="I121">
        <f t="shared" si="24"/>
        <v>-3.9975699816271866</v>
      </c>
    </row>
    <row r="122" spans="1:9" x14ac:dyDescent="0.25">
      <c r="A122" t="s">
        <v>101</v>
      </c>
      <c r="B122">
        <f>B117*SIN(RADIANS($B$110))</f>
        <v>-0.10467191248588767</v>
      </c>
      <c r="C122">
        <f t="shared" ref="C122:I122" si="25">C117*SIN(RADIANS($B$110))</f>
        <v>-0.10467191248588767</v>
      </c>
      <c r="D122">
        <f t="shared" si="25"/>
        <v>-0.10467191248588767</v>
      </c>
      <c r="E122">
        <f t="shared" si="25"/>
        <v>-0.10467191248588767</v>
      </c>
      <c r="F122">
        <f t="shared" si="25"/>
        <v>-0.20934382497177534</v>
      </c>
      <c r="G122">
        <f t="shared" si="25"/>
        <v>-0.20934382497177534</v>
      </c>
      <c r="H122">
        <f t="shared" si="25"/>
        <v>-0.20934382497177534</v>
      </c>
      <c r="I122">
        <f t="shared" si="25"/>
        <v>-0.20934382497177534</v>
      </c>
    </row>
    <row r="123" spans="1:9" x14ac:dyDescent="0.25">
      <c r="A123" t="s">
        <v>102</v>
      </c>
      <c r="B123">
        <f>B117*COS(RADIANS($B$121))</f>
        <v>-1.9987831337399988</v>
      </c>
      <c r="C123">
        <f t="shared" ref="C123:I123" si="26">C117*COS(RADIANS($B$121))</f>
        <v>-1.9987831337399988</v>
      </c>
      <c r="D123">
        <f t="shared" si="26"/>
        <v>-1.9987831337399988</v>
      </c>
      <c r="E123">
        <f t="shared" si="26"/>
        <v>-1.9987831337399988</v>
      </c>
      <c r="F123">
        <f t="shared" si="26"/>
        <v>-3.9975662674799977</v>
      </c>
      <c r="G123">
        <f t="shared" si="26"/>
        <v>-3.9975662674799977</v>
      </c>
      <c r="H123">
        <f t="shared" si="26"/>
        <v>-3.9975662674799977</v>
      </c>
      <c r="I123">
        <f t="shared" si="26"/>
        <v>-3.9975662674799977</v>
      </c>
    </row>
    <row r="124" spans="1:9" x14ac:dyDescent="0.25">
      <c r="A124" t="s">
        <v>103</v>
      </c>
      <c r="B124">
        <f>(B120*$B$111)/(B123+$B$111)</f>
        <v>8.7191227050784331E-2</v>
      </c>
      <c r="C124">
        <f>(C118*B111)/(C123+B111)</f>
        <v>9.1285200930496857E-2</v>
      </c>
      <c r="D124">
        <f>(D118*B111)/(D123+B111)</f>
        <v>-9.1285200930496857E-2</v>
      </c>
      <c r="E124">
        <f>(E118*B111)/(E123+B111)</f>
        <v>-9.1285200930496857E-2</v>
      </c>
      <c r="F124">
        <f>(F118*B111)/(F123+B111)</f>
        <v>0.27330154182244026</v>
      </c>
      <c r="G124">
        <f>(G118*B111)/(G123+B111)</f>
        <v>0.27330154182244026</v>
      </c>
      <c r="H124">
        <f>(H118*B111)/(H123+B111)</f>
        <v>-0.27330154182244026</v>
      </c>
      <c r="I124">
        <f>(I118*B111)/(I123+B111)</f>
        <v>-0.27330154182244026</v>
      </c>
    </row>
    <row r="125" spans="1:9" x14ac:dyDescent="0.25">
      <c r="A125" t="s">
        <v>104</v>
      </c>
      <c r="B125">
        <f>(B120*$B$111)/(B123+$B$111)</f>
        <v>8.7191227050784331E-2</v>
      </c>
      <c r="C125">
        <f>(C120*B111)/(C123+B111)</f>
        <v>-8.7191227050784331E-2</v>
      </c>
      <c r="D125">
        <f>(D120*B111)/(D123+B111)</f>
        <v>8.7191227050784331E-2</v>
      </c>
      <c r="E125">
        <f>(E120*B111)/(E123+B111)</f>
        <v>-8.7191227050784331E-2</v>
      </c>
      <c r="F125">
        <f>(F120*B111)/(F123+B111)</f>
        <v>0.26104446880182947</v>
      </c>
      <c r="G125">
        <f>(G120*B111)/(G123+B111)</f>
        <v>-0.26104446880182947</v>
      </c>
      <c r="H125">
        <f>(H120*B111)/(H123+B111)</f>
        <v>0.26104446880182947</v>
      </c>
      <c r="I125">
        <f>(I120*B111)/(I123+B111)</f>
        <v>-0.26104446880182947</v>
      </c>
    </row>
    <row r="146" spans="1:4" x14ac:dyDescent="0.25">
      <c r="A146" t="s">
        <v>120</v>
      </c>
      <c r="B146" s="3">
        <v>0.35</v>
      </c>
    </row>
    <row r="149" spans="1:4" x14ac:dyDescent="0.25">
      <c r="B149" t="s">
        <v>117</v>
      </c>
      <c r="C149" t="s">
        <v>118</v>
      </c>
      <c r="D149" t="s">
        <v>119</v>
      </c>
    </row>
    <row r="150" spans="1:4" x14ac:dyDescent="0.25">
      <c r="A150" s="8">
        <v>45292</v>
      </c>
      <c r="B150">
        <v>1122</v>
      </c>
      <c r="C150" s="3">
        <v>0.35</v>
      </c>
      <c r="D150" s="10">
        <f>B150*C150</f>
        <v>392.7</v>
      </c>
    </row>
    <row r="151" spans="1:4" x14ac:dyDescent="0.25">
      <c r="A151" s="8">
        <v>45293</v>
      </c>
      <c r="B151">
        <v>1250</v>
      </c>
      <c r="C151" s="3"/>
      <c r="D151" s="10">
        <f t="shared" ref="D151:D164" si="27">IF(B151="","",(B151-B150)*$C$150)</f>
        <v>44.8</v>
      </c>
    </row>
    <row r="152" spans="1:4" x14ac:dyDescent="0.25">
      <c r="A152" s="8">
        <v>45294</v>
      </c>
      <c r="B152">
        <v>1320</v>
      </c>
      <c r="C152" s="3"/>
      <c r="D152" s="10">
        <f t="shared" si="27"/>
        <v>24.5</v>
      </c>
    </row>
    <row r="153" spans="1:4" x14ac:dyDescent="0.25">
      <c r="A153" s="8">
        <v>45295</v>
      </c>
      <c r="B153">
        <v>1480</v>
      </c>
      <c r="C153" s="3"/>
      <c r="D153" s="10">
        <f t="shared" si="27"/>
        <v>56</v>
      </c>
    </row>
    <row r="154" spans="1:4" x14ac:dyDescent="0.25">
      <c r="A154" s="8">
        <v>45296</v>
      </c>
      <c r="B154">
        <v>1560</v>
      </c>
      <c r="C154" s="3"/>
      <c r="D154" s="10">
        <f t="shared" si="27"/>
        <v>28</v>
      </c>
    </row>
    <row r="155" spans="1:4" x14ac:dyDescent="0.25">
      <c r="A155" s="8">
        <v>45297</v>
      </c>
      <c r="B155">
        <v>1640</v>
      </c>
      <c r="C155" s="3"/>
      <c r="D155" s="10">
        <f t="shared" si="27"/>
        <v>28</v>
      </c>
    </row>
    <row r="156" spans="1:4" x14ac:dyDescent="0.25">
      <c r="A156" s="8">
        <v>45298</v>
      </c>
      <c r="B156">
        <v>1790</v>
      </c>
      <c r="C156" s="3"/>
      <c r="D156" s="10">
        <f t="shared" si="27"/>
        <v>52.5</v>
      </c>
    </row>
    <row r="157" spans="1:4" x14ac:dyDescent="0.25">
      <c r="A157" s="8">
        <v>45299</v>
      </c>
      <c r="B157">
        <v>1900</v>
      </c>
      <c r="C157" s="3"/>
      <c r="D157" s="10">
        <f t="shared" si="27"/>
        <v>38.5</v>
      </c>
    </row>
    <row r="158" spans="1:4" x14ac:dyDescent="0.25">
      <c r="A158" s="8">
        <v>45300</v>
      </c>
      <c r="C158" s="3"/>
      <c r="D158" s="10" t="str">
        <f t="shared" si="27"/>
        <v/>
      </c>
    </row>
    <row r="159" spans="1:4" x14ac:dyDescent="0.25">
      <c r="A159" s="8">
        <v>45301</v>
      </c>
      <c r="C159" s="3"/>
      <c r="D159" s="10" t="str">
        <f t="shared" si="27"/>
        <v/>
      </c>
    </row>
    <row r="160" spans="1:4" x14ac:dyDescent="0.25">
      <c r="A160" s="8">
        <v>45302</v>
      </c>
      <c r="C160" s="3"/>
      <c r="D160" s="10" t="str">
        <f t="shared" si="27"/>
        <v/>
      </c>
    </row>
    <row r="161" spans="1:4" x14ac:dyDescent="0.25">
      <c r="A161" s="8">
        <v>45303</v>
      </c>
      <c r="C161" s="3"/>
      <c r="D161" s="10" t="str">
        <f t="shared" si="27"/>
        <v/>
      </c>
    </row>
    <row r="162" spans="1:4" x14ac:dyDescent="0.25">
      <c r="A162" s="8">
        <v>45304</v>
      </c>
      <c r="C162" s="3"/>
      <c r="D162" s="10" t="str">
        <f t="shared" si="27"/>
        <v/>
      </c>
    </row>
    <row r="163" spans="1:4" x14ac:dyDescent="0.25">
      <c r="A163" s="8">
        <v>45305</v>
      </c>
      <c r="C163" s="3"/>
      <c r="D163" s="10" t="str">
        <f t="shared" si="27"/>
        <v/>
      </c>
    </row>
    <row r="164" spans="1:4" x14ac:dyDescent="0.25">
      <c r="A164" s="8">
        <v>45306</v>
      </c>
      <c r="C164" s="3"/>
      <c r="D164" s="10" t="str">
        <f t="shared" si="27"/>
        <v/>
      </c>
    </row>
    <row r="166" spans="1:4" x14ac:dyDescent="0.25">
      <c r="A166" s="15" t="s">
        <v>94</v>
      </c>
      <c r="B166" s="16" t="s">
        <v>108</v>
      </c>
    </row>
    <row r="167" spans="1:4" x14ac:dyDescent="0.25">
      <c r="A167" s="11" t="s">
        <v>116</v>
      </c>
      <c r="B167" s="13">
        <v>1</v>
      </c>
    </row>
    <row r="168" spans="1:4" x14ac:dyDescent="0.25">
      <c r="A168" s="12" t="s">
        <v>96</v>
      </c>
      <c r="B168" s="17">
        <v>0</v>
      </c>
    </row>
    <row r="169" spans="1:4" x14ac:dyDescent="0.25">
      <c r="A169" s="11" t="s">
        <v>97</v>
      </c>
      <c r="B169" s="18">
        <v>0</v>
      </c>
    </row>
    <row r="170" spans="1:4" x14ac:dyDescent="0.25">
      <c r="A170" s="12" t="s">
        <v>98</v>
      </c>
      <c r="B170" s="17">
        <v>0</v>
      </c>
    </row>
    <row r="171" spans="1:4" x14ac:dyDescent="0.25">
      <c r="A171" s="11" t="s">
        <v>89</v>
      </c>
      <c r="B171" s="18">
        <v>1</v>
      </c>
    </row>
    <row r="172" spans="1:4" x14ac:dyDescent="0.25">
      <c r="A172" s="12" t="s">
        <v>90</v>
      </c>
      <c r="B172" s="17">
        <v>1</v>
      </c>
    </row>
    <row r="173" spans="1:4" x14ac:dyDescent="0.25">
      <c r="A173" s="11" t="s">
        <v>91</v>
      </c>
      <c r="B173" s="18">
        <v>1</v>
      </c>
    </row>
    <row r="174" spans="1:4" x14ac:dyDescent="0.25">
      <c r="A174" s="12" t="s">
        <v>88</v>
      </c>
      <c r="B174" s="17">
        <v>2</v>
      </c>
    </row>
    <row r="175" spans="1:4" x14ac:dyDescent="0.25">
      <c r="A175" s="11" t="s">
        <v>52</v>
      </c>
      <c r="B175" s="18">
        <v>1</v>
      </c>
    </row>
    <row r="176" spans="1:4" x14ac:dyDescent="0.25">
      <c r="A176" s="12" t="s">
        <v>51</v>
      </c>
      <c r="B176" s="17">
        <v>1</v>
      </c>
    </row>
    <row r="177" spans="1:2" x14ac:dyDescent="0.25">
      <c r="A177" s="11" t="s">
        <v>87</v>
      </c>
      <c r="B177" s="18">
        <v>2</v>
      </c>
    </row>
    <row r="178" spans="1:2" x14ac:dyDescent="0.25">
      <c r="A178" s="12" t="s">
        <v>105</v>
      </c>
      <c r="B178" s="17">
        <f>B175-$B$168</f>
        <v>1</v>
      </c>
    </row>
    <row r="179" spans="1:2" x14ac:dyDescent="0.25">
      <c r="A179" s="11" t="s">
        <v>106</v>
      </c>
      <c r="B179" s="18">
        <f>B176-$B$169</f>
        <v>1</v>
      </c>
    </row>
    <row r="180" spans="1:2" x14ac:dyDescent="0.25">
      <c r="A180" s="12" t="s">
        <v>107</v>
      </c>
      <c r="B180" s="17">
        <f>B177-$B$170</f>
        <v>2</v>
      </c>
    </row>
    <row r="181" spans="1:2" x14ac:dyDescent="0.25">
      <c r="A181" s="11" t="s">
        <v>99</v>
      </c>
      <c r="B181" s="13">
        <f>B178*SIN($B$171)</f>
        <v>0.8414709848078965</v>
      </c>
    </row>
    <row r="182" spans="1:2" x14ac:dyDescent="0.25">
      <c r="A182" s="12" t="s">
        <v>92</v>
      </c>
      <c r="B182" s="14">
        <f>B180*COS($B$171)</f>
        <v>1.0806046117362795</v>
      </c>
    </row>
    <row r="183" spans="1:2" x14ac:dyDescent="0.25">
      <c r="A183" s="11" t="s">
        <v>100</v>
      </c>
      <c r="B183" s="13">
        <f>B179*SIN($B$172)</f>
        <v>0.8414709848078965</v>
      </c>
    </row>
    <row r="184" spans="1:2" x14ac:dyDescent="0.25">
      <c r="A184" s="12" t="s">
        <v>93</v>
      </c>
      <c r="B184" s="14">
        <f>B180*COS($B$172)</f>
        <v>1.0806046117362795</v>
      </c>
    </row>
    <row r="185" spans="1:2" x14ac:dyDescent="0.25">
      <c r="A185" s="11" t="s">
        <v>101</v>
      </c>
      <c r="B185" s="13">
        <f>B180*SIN($B$173)</f>
        <v>1.682941969615793</v>
      </c>
    </row>
    <row r="186" spans="1:2" x14ac:dyDescent="0.25">
      <c r="A186" s="12" t="s">
        <v>102</v>
      </c>
      <c r="B186" s="14">
        <f>B180*COS($B$173)</f>
        <v>1.0806046117362795</v>
      </c>
    </row>
    <row r="187" spans="1:2" x14ac:dyDescent="0.25">
      <c r="A187" s="11" t="s">
        <v>103</v>
      </c>
      <c r="B187" s="13">
        <f>(B181*$B$174)/(B186+$B$174)</f>
        <v>0.54630248984379048</v>
      </c>
    </row>
    <row r="188" spans="1:2" x14ac:dyDescent="0.25">
      <c r="A188" s="12" t="s">
        <v>104</v>
      </c>
      <c r="B188" s="14">
        <f>(B183*$B$174)/(B186+$B$174)</f>
        <v>0.54630248984379048</v>
      </c>
    </row>
    <row r="209" spans="1:11" x14ac:dyDescent="0.25">
      <c r="A209" t="s">
        <v>133</v>
      </c>
      <c r="B209" t="s">
        <v>134</v>
      </c>
      <c r="C209" t="s">
        <v>109</v>
      </c>
      <c r="D209" t="s">
        <v>110</v>
      </c>
      <c r="E209" t="s">
        <v>111</v>
      </c>
      <c r="F209" t="s">
        <v>112</v>
      </c>
      <c r="G209" t="s">
        <v>113</v>
      </c>
      <c r="H209" t="s">
        <v>114</v>
      </c>
      <c r="I209" t="s">
        <v>115</v>
      </c>
      <c r="J209" t="s">
        <v>135</v>
      </c>
      <c r="K209" t="s">
        <v>136</v>
      </c>
    </row>
    <row r="210" spans="1:11" x14ac:dyDescent="0.25">
      <c r="A210" t="s">
        <v>121</v>
      </c>
      <c r="B210">
        <v>0</v>
      </c>
    </row>
    <row r="211" spans="1:11" x14ac:dyDescent="0.25">
      <c r="A211" t="s">
        <v>122</v>
      </c>
      <c r="B211">
        <v>0</v>
      </c>
    </row>
    <row r="212" spans="1:11" x14ac:dyDescent="0.25">
      <c r="A212" t="s">
        <v>123</v>
      </c>
      <c r="B212">
        <v>0</v>
      </c>
    </row>
    <row r="213" spans="1:11" x14ac:dyDescent="0.25">
      <c r="A213" t="s">
        <v>124</v>
      </c>
      <c r="B213">
        <v>1</v>
      </c>
    </row>
    <row r="214" spans="1:11" x14ac:dyDescent="0.25">
      <c r="A214" t="s">
        <v>126</v>
      </c>
      <c r="B214">
        <v>1</v>
      </c>
      <c r="C214">
        <v>0.9</v>
      </c>
      <c r="D214">
        <v>0.8</v>
      </c>
      <c r="E214">
        <v>0.7</v>
      </c>
      <c r="F214">
        <v>0.6</v>
      </c>
      <c r="G214">
        <v>0.5</v>
      </c>
      <c r="H214">
        <v>0.4</v>
      </c>
      <c r="I214">
        <v>0.3</v>
      </c>
      <c r="J214">
        <v>0.2</v>
      </c>
      <c r="K214">
        <v>0.1</v>
      </c>
    </row>
    <row r="215" spans="1:11" x14ac:dyDescent="0.25">
      <c r="A215" t="s">
        <v>125</v>
      </c>
      <c r="B215">
        <v>1</v>
      </c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</row>
    <row r="216" spans="1:11" x14ac:dyDescent="0.25">
      <c r="A216" t="s">
        <v>127</v>
      </c>
      <c r="B216">
        <v>1</v>
      </c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</row>
    <row r="217" spans="1:11" x14ac:dyDescent="0.25">
      <c r="A217" t="s">
        <v>128</v>
      </c>
      <c r="B217">
        <f>B214-$B$210</f>
        <v>1</v>
      </c>
      <c r="C217">
        <f>C214-$B$210</f>
        <v>0.9</v>
      </c>
      <c r="D217">
        <f t="shared" ref="D217:E217" si="28">D214-$B$210</f>
        <v>0.8</v>
      </c>
      <c r="E217">
        <f t="shared" si="28"/>
        <v>0.7</v>
      </c>
      <c r="F217">
        <f t="shared" ref="F217:K217" si="29">F214-$B$210</f>
        <v>0.6</v>
      </c>
      <c r="G217">
        <f t="shared" si="29"/>
        <v>0.5</v>
      </c>
      <c r="H217">
        <f t="shared" si="29"/>
        <v>0.4</v>
      </c>
      <c r="I217">
        <f t="shared" si="29"/>
        <v>0.3</v>
      </c>
      <c r="J217">
        <f t="shared" si="29"/>
        <v>0.2</v>
      </c>
      <c r="K217">
        <f t="shared" si="29"/>
        <v>0.1</v>
      </c>
    </row>
    <row r="218" spans="1:11" x14ac:dyDescent="0.25">
      <c r="A218" t="s">
        <v>132</v>
      </c>
      <c r="B218">
        <f>B215-$B$211</f>
        <v>1</v>
      </c>
      <c r="C218">
        <f t="shared" ref="C218:D218" si="30">C215-$B$211</f>
        <v>1</v>
      </c>
      <c r="D218">
        <f t="shared" si="30"/>
        <v>1</v>
      </c>
      <c r="E218">
        <f t="shared" ref="E218:K218" si="31">E215-$B$211</f>
        <v>1</v>
      </c>
      <c r="F218">
        <f t="shared" si="31"/>
        <v>1</v>
      </c>
      <c r="G218">
        <f t="shared" si="31"/>
        <v>1</v>
      </c>
      <c r="H218">
        <f t="shared" si="31"/>
        <v>1</v>
      </c>
      <c r="I218">
        <f t="shared" si="31"/>
        <v>1</v>
      </c>
      <c r="J218">
        <f t="shared" si="31"/>
        <v>1</v>
      </c>
      <c r="K218">
        <f t="shared" si="31"/>
        <v>1</v>
      </c>
    </row>
    <row r="219" spans="1:11" x14ac:dyDescent="0.25">
      <c r="A219" t="s">
        <v>131</v>
      </c>
      <c r="B219">
        <f>B216-$B$212</f>
        <v>1</v>
      </c>
      <c r="C219">
        <f t="shared" ref="C219:K219" si="32">C216-$B$212</f>
        <v>1</v>
      </c>
      <c r="D219">
        <f t="shared" si="32"/>
        <v>1</v>
      </c>
      <c r="E219">
        <f t="shared" si="32"/>
        <v>1</v>
      </c>
      <c r="F219">
        <f>F216-$B$212</f>
        <v>1</v>
      </c>
      <c r="G219">
        <f t="shared" si="32"/>
        <v>1</v>
      </c>
      <c r="H219">
        <f t="shared" si="32"/>
        <v>1</v>
      </c>
      <c r="I219">
        <f t="shared" si="32"/>
        <v>1</v>
      </c>
      <c r="J219">
        <f t="shared" si="32"/>
        <v>1</v>
      </c>
      <c r="K219">
        <f t="shared" si="32"/>
        <v>1</v>
      </c>
    </row>
    <row r="220" spans="1:11" x14ac:dyDescent="0.25">
      <c r="A220" t="s">
        <v>129</v>
      </c>
      <c r="B220">
        <f>IF(B214&lt;$B$210, (B217*$B$213)/(B219+$B$213), 1)</f>
        <v>1</v>
      </c>
      <c r="C220">
        <f t="shared" ref="C220:K220" si="33">IF(C214&lt;$B$210, (C217*$B$213)/(C219+$B$213), 1)</f>
        <v>1</v>
      </c>
      <c r="D220">
        <f t="shared" si="33"/>
        <v>1</v>
      </c>
      <c r="E220">
        <f t="shared" si="33"/>
        <v>1</v>
      </c>
      <c r="F220">
        <f t="shared" si="33"/>
        <v>1</v>
      </c>
      <c r="G220">
        <f t="shared" si="33"/>
        <v>1</v>
      </c>
      <c r="H220">
        <f t="shared" si="33"/>
        <v>1</v>
      </c>
      <c r="I220">
        <f t="shared" si="33"/>
        <v>1</v>
      </c>
      <c r="J220">
        <f t="shared" si="33"/>
        <v>1</v>
      </c>
      <c r="K220">
        <f t="shared" si="33"/>
        <v>1</v>
      </c>
    </row>
    <row r="221" spans="1:11" x14ac:dyDescent="0.25">
      <c r="A221" t="s">
        <v>130</v>
      </c>
      <c r="B221">
        <f>IF(B214&lt;$B$210, (B218*$B$213)/(B219+$B$213), 1)</f>
        <v>1</v>
      </c>
      <c r="C221">
        <f t="shared" ref="C221:K221" si="34">IF(C214&lt;$B$210, (C218*$B$213)/(C219+$B$213), 1)</f>
        <v>1</v>
      </c>
      <c r="D221">
        <f t="shared" si="34"/>
        <v>1</v>
      </c>
      <c r="E221">
        <f t="shared" si="34"/>
        <v>1</v>
      </c>
      <c r="F221">
        <f t="shared" si="34"/>
        <v>1</v>
      </c>
      <c r="G221">
        <f t="shared" si="34"/>
        <v>1</v>
      </c>
      <c r="H221">
        <f t="shared" si="34"/>
        <v>1</v>
      </c>
      <c r="I221">
        <f t="shared" si="34"/>
        <v>1</v>
      </c>
      <c r="J221">
        <f t="shared" si="34"/>
        <v>1</v>
      </c>
      <c r="K221">
        <f t="shared" si="34"/>
        <v>1</v>
      </c>
    </row>
    <row r="242" spans="1:10" ht="15.75" thickBot="1" x14ac:dyDescent="0.3">
      <c r="A242" s="19" t="s">
        <v>133</v>
      </c>
      <c r="B242" s="23" t="s">
        <v>134</v>
      </c>
      <c r="C242" s="23" t="s">
        <v>109</v>
      </c>
      <c r="D242" s="23" t="s">
        <v>110</v>
      </c>
      <c r="E242" s="23" t="s">
        <v>111</v>
      </c>
      <c r="F242" s="23" t="s">
        <v>112</v>
      </c>
      <c r="G242" s="23" t="s">
        <v>113</v>
      </c>
      <c r="H242" s="23" t="s">
        <v>114</v>
      </c>
      <c r="I242" s="23" t="s">
        <v>115</v>
      </c>
      <c r="J242" s="23" t="s">
        <v>135</v>
      </c>
    </row>
    <row r="243" spans="1:10" ht="15.75" thickTop="1" x14ac:dyDescent="0.25">
      <c r="A243" s="20" t="s">
        <v>121</v>
      </c>
      <c r="B243" s="24">
        <v>0</v>
      </c>
      <c r="C243" s="24"/>
      <c r="D243" s="24"/>
      <c r="E243" s="24"/>
      <c r="F243" s="24"/>
      <c r="G243" s="24"/>
      <c r="H243" s="24"/>
      <c r="I243" s="24"/>
      <c r="J243" s="24"/>
    </row>
    <row r="244" spans="1:10" x14ac:dyDescent="0.25">
      <c r="A244" s="21" t="s">
        <v>122</v>
      </c>
      <c r="B244" s="25">
        <v>0</v>
      </c>
      <c r="C244" s="25"/>
      <c r="D244" s="25"/>
      <c r="E244" s="25"/>
      <c r="F244" s="25"/>
      <c r="G244" s="25"/>
      <c r="H244" s="25"/>
      <c r="I244" s="25"/>
      <c r="J244" s="25"/>
    </row>
    <row r="245" spans="1:10" x14ac:dyDescent="0.25">
      <c r="A245" s="20" t="s">
        <v>123</v>
      </c>
      <c r="B245" s="24">
        <v>5</v>
      </c>
      <c r="C245" s="24"/>
      <c r="D245" s="24"/>
      <c r="E245" s="24"/>
      <c r="F245" s="24"/>
      <c r="G245" s="24"/>
      <c r="H245" s="24"/>
      <c r="I245" s="24"/>
      <c r="J245" s="24"/>
    </row>
    <row r="246" spans="1:10" x14ac:dyDescent="0.25">
      <c r="A246" s="21" t="s">
        <v>124</v>
      </c>
      <c r="B246" s="25">
        <v>2</v>
      </c>
      <c r="C246" s="25"/>
      <c r="D246" s="25"/>
      <c r="E246" s="25"/>
      <c r="F246" s="25"/>
      <c r="G246" s="25"/>
      <c r="H246" s="25"/>
      <c r="I246" s="25"/>
      <c r="J246" s="25"/>
    </row>
    <row r="247" spans="1:10" x14ac:dyDescent="0.25">
      <c r="A247" s="20" t="s">
        <v>126</v>
      </c>
      <c r="B247" s="24">
        <v>1</v>
      </c>
      <c r="C247" s="24">
        <v>1</v>
      </c>
      <c r="D247" s="24">
        <v>-1</v>
      </c>
      <c r="E247" s="24">
        <v>-1</v>
      </c>
      <c r="F247" s="24">
        <v>1</v>
      </c>
      <c r="G247" s="24">
        <v>1</v>
      </c>
      <c r="H247" s="24">
        <v>-1</v>
      </c>
      <c r="I247" s="24">
        <v>-1</v>
      </c>
      <c r="J247" s="24">
        <v>0</v>
      </c>
    </row>
    <row r="248" spans="1:10" x14ac:dyDescent="0.25">
      <c r="A248" s="21" t="s">
        <v>125</v>
      </c>
      <c r="B248" s="25">
        <v>1</v>
      </c>
      <c r="C248" s="25">
        <v>-1</v>
      </c>
      <c r="D248" s="25">
        <v>1</v>
      </c>
      <c r="E248" s="25">
        <v>-1</v>
      </c>
      <c r="F248" s="25">
        <v>1</v>
      </c>
      <c r="G248" s="25">
        <v>-1</v>
      </c>
      <c r="H248" s="25">
        <v>1</v>
      </c>
      <c r="I248" s="25">
        <v>-1</v>
      </c>
      <c r="J248" s="25">
        <v>0</v>
      </c>
    </row>
    <row r="249" spans="1:10" x14ac:dyDescent="0.25">
      <c r="A249" s="20" t="s">
        <v>127</v>
      </c>
      <c r="B249" s="24">
        <v>1</v>
      </c>
      <c r="C249" s="24">
        <v>1</v>
      </c>
      <c r="D249" s="24">
        <v>1</v>
      </c>
      <c r="E249" s="24">
        <v>1</v>
      </c>
      <c r="F249" s="24">
        <v>-1</v>
      </c>
      <c r="G249" s="24">
        <v>-1</v>
      </c>
      <c r="H249" s="24">
        <v>-1</v>
      </c>
      <c r="I249" s="24">
        <v>-1</v>
      </c>
      <c r="J249" s="24">
        <v>0</v>
      </c>
    </row>
    <row r="250" spans="1:10" x14ac:dyDescent="0.25">
      <c r="A250" s="21" t="s">
        <v>128</v>
      </c>
      <c r="B250" s="25">
        <f>B247-$B$243</f>
        <v>1</v>
      </c>
      <c r="C250" s="25">
        <f t="shared" ref="C250:I250" si="35">C247-$B$243</f>
        <v>1</v>
      </c>
      <c r="D250" s="25">
        <f t="shared" si="35"/>
        <v>-1</v>
      </c>
      <c r="E250" s="25">
        <f t="shared" si="35"/>
        <v>-1</v>
      </c>
      <c r="F250" s="25">
        <f t="shared" si="35"/>
        <v>1</v>
      </c>
      <c r="G250" s="25">
        <f t="shared" si="35"/>
        <v>1</v>
      </c>
      <c r="H250" s="25">
        <f t="shared" si="35"/>
        <v>-1</v>
      </c>
      <c r="I250" s="25">
        <f t="shared" si="35"/>
        <v>-1</v>
      </c>
      <c r="J250" s="25">
        <f t="shared" ref="J250" si="36">J247-$B$243</f>
        <v>0</v>
      </c>
    </row>
    <row r="251" spans="1:10" x14ac:dyDescent="0.25">
      <c r="A251" s="20" t="s">
        <v>132</v>
      </c>
      <c r="B251" s="24">
        <f t="shared" ref="B251:I251" si="37">B248-$B$244</f>
        <v>1</v>
      </c>
      <c r="C251" s="24">
        <f t="shared" si="37"/>
        <v>-1</v>
      </c>
      <c r="D251" s="24">
        <f t="shared" si="37"/>
        <v>1</v>
      </c>
      <c r="E251" s="24">
        <f t="shared" si="37"/>
        <v>-1</v>
      </c>
      <c r="F251" s="24">
        <f t="shared" si="37"/>
        <v>1</v>
      </c>
      <c r="G251" s="24">
        <f t="shared" si="37"/>
        <v>-1</v>
      </c>
      <c r="H251" s="24">
        <f t="shared" si="37"/>
        <v>1</v>
      </c>
      <c r="I251" s="24">
        <f t="shared" si="37"/>
        <v>-1</v>
      </c>
      <c r="J251" s="24">
        <f t="shared" ref="J251" si="38">J248-$B$244</f>
        <v>0</v>
      </c>
    </row>
    <row r="252" spans="1:10" x14ac:dyDescent="0.25">
      <c r="A252" s="21" t="s">
        <v>131</v>
      </c>
      <c r="B252" s="25">
        <f t="shared" ref="B252:I252" si="39">B249-$B$245</f>
        <v>-4</v>
      </c>
      <c r="C252" s="25">
        <f t="shared" si="39"/>
        <v>-4</v>
      </c>
      <c r="D252" s="25">
        <f t="shared" si="39"/>
        <v>-4</v>
      </c>
      <c r="E252" s="25">
        <f t="shared" si="39"/>
        <v>-4</v>
      </c>
      <c r="F252" s="25">
        <f t="shared" si="39"/>
        <v>-6</v>
      </c>
      <c r="G252" s="25">
        <f t="shared" si="39"/>
        <v>-6</v>
      </c>
      <c r="H252" s="25">
        <f t="shared" si="39"/>
        <v>-6</v>
      </c>
      <c r="I252" s="25">
        <f t="shared" si="39"/>
        <v>-6</v>
      </c>
      <c r="J252" s="25">
        <f t="shared" ref="J252" si="40">J249-$B$245</f>
        <v>-5</v>
      </c>
    </row>
    <row r="253" spans="1:10" x14ac:dyDescent="0.25">
      <c r="A253" s="20" t="s">
        <v>129</v>
      </c>
      <c r="B253" s="24">
        <f t="shared" ref="B253:I253" si="41">(B250*$B$246)/(B252+$B$246)</f>
        <v>-1</v>
      </c>
      <c r="C253" s="24">
        <f t="shared" si="41"/>
        <v>-1</v>
      </c>
      <c r="D253" s="24">
        <f t="shared" si="41"/>
        <v>1</v>
      </c>
      <c r="E253" s="24">
        <f t="shared" si="41"/>
        <v>1</v>
      </c>
      <c r="F253" s="24">
        <f t="shared" si="41"/>
        <v>-0.5</v>
      </c>
      <c r="G253" s="24">
        <f t="shared" si="41"/>
        <v>-0.5</v>
      </c>
      <c r="H253" s="24">
        <f t="shared" si="41"/>
        <v>0.5</v>
      </c>
      <c r="I253" s="24">
        <f t="shared" si="41"/>
        <v>0.5</v>
      </c>
      <c r="J253" s="24">
        <f t="shared" ref="J253" si="42">(J250*$B$246)/(J252+$B$246)</f>
        <v>0</v>
      </c>
    </row>
    <row r="254" spans="1:10" x14ac:dyDescent="0.25">
      <c r="A254" s="22" t="s">
        <v>130</v>
      </c>
      <c r="B254" s="26">
        <f t="shared" ref="B254:I254" si="43">(B251*$B$246)/(B252+$B$246)</f>
        <v>-1</v>
      </c>
      <c r="C254" s="26">
        <f t="shared" si="43"/>
        <v>1</v>
      </c>
      <c r="D254" s="26">
        <f t="shared" si="43"/>
        <v>-1</v>
      </c>
      <c r="E254" s="26">
        <f t="shared" si="43"/>
        <v>1</v>
      </c>
      <c r="F254" s="26">
        <f t="shared" si="43"/>
        <v>-0.5</v>
      </c>
      <c r="G254" s="26">
        <f t="shared" si="43"/>
        <v>0.5</v>
      </c>
      <c r="H254" s="26">
        <f t="shared" si="43"/>
        <v>-0.5</v>
      </c>
      <c r="I254" s="26">
        <f t="shared" si="43"/>
        <v>0.5</v>
      </c>
      <c r="J254" s="26">
        <f t="shared" ref="J254" si="44">(J251*$B$246)/(J252+$B$246)</f>
        <v>0</v>
      </c>
    </row>
    <row r="275" spans="1:10" ht="15.75" thickBot="1" x14ac:dyDescent="0.3">
      <c r="A275" s="19" t="s">
        <v>133</v>
      </c>
      <c r="B275" s="23" t="s">
        <v>134</v>
      </c>
    </row>
    <row r="276" spans="1:10" ht="15.75" thickTop="1" x14ac:dyDescent="0.25">
      <c r="A276" s="20" t="s">
        <v>121</v>
      </c>
      <c r="B276" s="24">
        <v>0</v>
      </c>
    </row>
    <row r="277" spans="1:10" x14ac:dyDescent="0.25">
      <c r="A277" s="21" t="s">
        <v>122</v>
      </c>
      <c r="B277" s="25">
        <v>5</v>
      </c>
    </row>
    <row r="278" spans="1:10" x14ac:dyDescent="0.25">
      <c r="A278" s="20" t="s">
        <v>123</v>
      </c>
      <c r="B278" s="24">
        <v>-10</v>
      </c>
    </row>
    <row r="279" spans="1:10" x14ac:dyDescent="0.25">
      <c r="A279" s="21" t="s">
        <v>124</v>
      </c>
      <c r="B279" s="25">
        <v>1</v>
      </c>
    </row>
    <row r="280" spans="1:10" x14ac:dyDescent="0.25">
      <c r="A280" s="20" t="s">
        <v>126</v>
      </c>
      <c r="B280" s="24">
        <v>-1</v>
      </c>
      <c r="C280" s="24">
        <v>-1</v>
      </c>
      <c r="D280" s="24">
        <v>-1</v>
      </c>
      <c r="E280" s="24">
        <v>0</v>
      </c>
      <c r="F280" s="24">
        <v>0</v>
      </c>
      <c r="G280" s="24">
        <v>0</v>
      </c>
      <c r="H280" s="24">
        <v>1</v>
      </c>
      <c r="I280" s="24">
        <v>1</v>
      </c>
      <c r="J280" s="24">
        <v>1</v>
      </c>
    </row>
    <row r="281" spans="1:10" x14ac:dyDescent="0.25">
      <c r="A281" s="21" t="s">
        <v>125</v>
      </c>
      <c r="B281" s="25">
        <v>0</v>
      </c>
      <c r="C281" s="25">
        <v>0</v>
      </c>
      <c r="D281" s="25">
        <v>0</v>
      </c>
      <c r="E281" s="25">
        <v>0</v>
      </c>
      <c r="F281" s="25">
        <v>0</v>
      </c>
      <c r="G281" s="25">
        <v>0</v>
      </c>
      <c r="H281" s="25">
        <v>0</v>
      </c>
      <c r="I281" s="25">
        <v>0</v>
      </c>
      <c r="J281" s="25">
        <v>0</v>
      </c>
    </row>
    <row r="282" spans="1:10" x14ac:dyDescent="0.25">
      <c r="A282" s="20" t="s">
        <v>127</v>
      </c>
      <c r="B282" s="24">
        <v>-1</v>
      </c>
      <c r="C282" s="24">
        <v>0</v>
      </c>
      <c r="D282" s="24">
        <v>1</v>
      </c>
      <c r="E282" s="24">
        <v>-1</v>
      </c>
      <c r="F282" s="24">
        <v>0</v>
      </c>
      <c r="G282" s="24">
        <v>1</v>
      </c>
      <c r="H282" s="24">
        <v>-1</v>
      </c>
      <c r="I282" s="24">
        <v>-1</v>
      </c>
      <c r="J282" s="24">
        <v>-1</v>
      </c>
    </row>
    <row r="283" spans="1:10" x14ac:dyDescent="0.25">
      <c r="A283" s="21" t="s">
        <v>128</v>
      </c>
      <c r="B283" s="25">
        <f>B280-$B$276</f>
        <v>-1</v>
      </c>
      <c r="C283" s="25">
        <f t="shared" ref="C283:I283" si="45">C280-$B$276</f>
        <v>-1</v>
      </c>
      <c r="D283" s="25">
        <f t="shared" si="45"/>
        <v>-1</v>
      </c>
      <c r="E283" s="25">
        <f t="shared" si="45"/>
        <v>0</v>
      </c>
      <c r="F283" s="25">
        <f t="shared" si="45"/>
        <v>0</v>
      </c>
      <c r="G283" s="25">
        <f t="shared" si="45"/>
        <v>0</v>
      </c>
      <c r="H283" s="25">
        <f t="shared" si="45"/>
        <v>1</v>
      </c>
      <c r="I283" s="25">
        <f t="shared" si="45"/>
        <v>1</v>
      </c>
      <c r="J283" s="25">
        <f t="shared" ref="J283" si="46">J280-$B$276</f>
        <v>1</v>
      </c>
    </row>
    <row r="284" spans="1:10" x14ac:dyDescent="0.25">
      <c r="A284" s="20" t="s">
        <v>132</v>
      </c>
      <c r="B284" s="24">
        <f>B281-$B$277</f>
        <v>-5</v>
      </c>
      <c r="C284" s="24">
        <f t="shared" ref="C284:I284" si="47">C281-$B$277</f>
        <v>-5</v>
      </c>
      <c r="D284" s="24">
        <f t="shared" si="47"/>
        <v>-5</v>
      </c>
      <c r="E284" s="24">
        <f t="shared" si="47"/>
        <v>-5</v>
      </c>
      <c r="F284" s="24">
        <f t="shared" si="47"/>
        <v>-5</v>
      </c>
      <c r="G284" s="24">
        <f t="shared" si="47"/>
        <v>-5</v>
      </c>
      <c r="H284" s="24">
        <f t="shared" si="47"/>
        <v>-5</v>
      </c>
      <c r="I284" s="24">
        <f t="shared" si="47"/>
        <v>-5</v>
      </c>
      <c r="J284" s="24">
        <f t="shared" ref="J284" si="48">J281-$B$277</f>
        <v>-5</v>
      </c>
    </row>
    <row r="285" spans="1:10" x14ac:dyDescent="0.25">
      <c r="A285" s="21" t="s">
        <v>131</v>
      </c>
      <c r="B285" s="25">
        <f>B282-$B$278</f>
        <v>9</v>
      </c>
      <c r="C285" s="25">
        <f t="shared" ref="C285:I285" si="49">C282-$B$278</f>
        <v>10</v>
      </c>
      <c r="D285" s="25">
        <f t="shared" si="49"/>
        <v>11</v>
      </c>
      <c r="E285" s="25">
        <f t="shared" si="49"/>
        <v>9</v>
      </c>
      <c r="F285" s="25">
        <f t="shared" si="49"/>
        <v>10</v>
      </c>
      <c r="G285" s="25">
        <f t="shared" si="49"/>
        <v>11</v>
      </c>
      <c r="H285" s="25">
        <f t="shared" si="49"/>
        <v>9</v>
      </c>
      <c r="I285" s="25">
        <f t="shared" si="49"/>
        <v>9</v>
      </c>
      <c r="J285" s="25">
        <f t="shared" ref="J285" si="50">J282-$B$278</f>
        <v>9</v>
      </c>
    </row>
    <row r="286" spans="1:10" x14ac:dyDescent="0.25">
      <c r="A286" s="20" t="s">
        <v>129</v>
      </c>
      <c r="B286" s="24">
        <f>(B283*$B$279)/(B285+$B$279)</f>
        <v>-0.1</v>
      </c>
      <c r="C286" s="24">
        <f t="shared" ref="C286:J286" si="51">(C283*$B$279)/(C285+$B$279)</f>
        <v>-9.0909090909090912E-2</v>
      </c>
      <c r="D286" s="24">
        <f t="shared" si="51"/>
        <v>-8.3333333333333329E-2</v>
      </c>
      <c r="E286" s="24">
        <f t="shared" si="51"/>
        <v>0</v>
      </c>
      <c r="F286" s="24">
        <f t="shared" si="51"/>
        <v>0</v>
      </c>
      <c r="G286" s="24">
        <f t="shared" si="51"/>
        <v>0</v>
      </c>
      <c r="H286" s="24">
        <f t="shared" si="51"/>
        <v>0.1</v>
      </c>
      <c r="I286" s="24">
        <f t="shared" si="51"/>
        <v>0.1</v>
      </c>
      <c r="J286" s="24">
        <f t="shared" si="51"/>
        <v>0.1</v>
      </c>
    </row>
    <row r="287" spans="1:10" x14ac:dyDescent="0.25">
      <c r="A287" s="22" t="s">
        <v>130</v>
      </c>
      <c r="B287" s="26">
        <f>(B284*$B$279)/(B285+$B$279)</f>
        <v>-0.5</v>
      </c>
      <c r="C287" s="26">
        <f t="shared" ref="C287:I287" si="52">(C284*$B$279)/(C285+$B$279)</f>
        <v>-0.45454545454545453</v>
      </c>
      <c r="D287" s="26">
        <f t="shared" si="52"/>
        <v>-0.41666666666666669</v>
      </c>
      <c r="E287" s="26">
        <f t="shared" si="52"/>
        <v>-0.5</v>
      </c>
      <c r="F287" s="26">
        <f t="shared" si="52"/>
        <v>-0.45454545454545453</v>
      </c>
      <c r="G287" s="26">
        <f t="shared" si="52"/>
        <v>-0.41666666666666669</v>
      </c>
      <c r="H287" s="26">
        <f t="shared" si="52"/>
        <v>-0.5</v>
      </c>
      <c r="I287" s="26">
        <f t="shared" si="52"/>
        <v>-0.5</v>
      </c>
      <c r="J287" s="26">
        <f t="shared" ref="J287" si="53">(J284*$B$279)/(J285+$B$279)</f>
        <v>-0.5</v>
      </c>
    </row>
    <row r="305" spans="1:373" x14ac:dyDescent="0.25">
      <c r="A305">
        <v>1</v>
      </c>
      <c r="B305">
        <v>2</v>
      </c>
      <c r="C305">
        <v>3</v>
      </c>
      <c r="D305">
        <v>4</v>
      </c>
      <c r="E305">
        <v>5</v>
      </c>
      <c r="F305">
        <v>6</v>
      </c>
      <c r="G305">
        <v>7</v>
      </c>
      <c r="H305">
        <v>8</v>
      </c>
      <c r="I305">
        <v>9</v>
      </c>
      <c r="J305">
        <v>10</v>
      </c>
      <c r="K305">
        <v>11</v>
      </c>
      <c r="L305">
        <v>12</v>
      </c>
      <c r="M305">
        <v>12</v>
      </c>
      <c r="N305">
        <v>1</v>
      </c>
      <c r="O305">
        <v>2</v>
      </c>
      <c r="P305">
        <v>3</v>
      </c>
      <c r="Q305">
        <v>4</v>
      </c>
      <c r="R305">
        <v>5</v>
      </c>
      <c r="S305">
        <v>6</v>
      </c>
      <c r="T305">
        <v>7</v>
      </c>
      <c r="U305">
        <v>8</v>
      </c>
      <c r="V305">
        <v>9</v>
      </c>
      <c r="W305">
        <v>10</v>
      </c>
      <c r="X305">
        <v>11</v>
      </c>
      <c r="Y305">
        <v>12</v>
      </c>
      <c r="Z305">
        <v>13</v>
      </c>
      <c r="AA305">
        <v>14</v>
      </c>
      <c r="AB305">
        <v>15</v>
      </c>
      <c r="AC305">
        <v>16</v>
      </c>
      <c r="AD305">
        <v>17</v>
      </c>
      <c r="AE305">
        <v>18</v>
      </c>
      <c r="AF305">
        <v>19</v>
      </c>
      <c r="AG305">
        <v>20</v>
      </c>
      <c r="AH305">
        <v>21</v>
      </c>
      <c r="AI305">
        <v>22</v>
      </c>
      <c r="AJ305">
        <v>23</v>
      </c>
      <c r="AK305">
        <v>24</v>
      </c>
      <c r="AL305">
        <v>25</v>
      </c>
      <c r="AM305">
        <v>26</v>
      </c>
      <c r="AN305">
        <v>27</v>
      </c>
      <c r="AO305">
        <v>28</v>
      </c>
      <c r="AP305">
        <v>29</v>
      </c>
      <c r="AQ305">
        <v>30</v>
      </c>
      <c r="AR305">
        <v>31</v>
      </c>
      <c r="AS305">
        <v>32</v>
      </c>
      <c r="AT305">
        <v>33</v>
      </c>
      <c r="AU305">
        <v>34</v>
      </c>
      <c r="AV305">
        <v>35</v>
      </c>
      <c r="AW305">
        <v>36</v>
      </c>
      <c r="AX305">
        <v>37</v>
      </c>
      <c r="AY305">
        <v>38</v>
      </c>
      <c r="AZ305">
        <v>39</v>
      </c>
      <c r="BA305">
        <v>40</v>
      </c>
      <c r="BB305">
        <v>41</v>
      </c>
      <c r="BC305">
        <v>42</v>
      </c>
      <c r="BD305">
        <v>43</v>
      </c>
      <c r="BE305">
        <v>44</v>
      </c>
      <c r="BF305">
        <v>45</v>
      </c>
      <c r="BG305">
        <v>46</v>
      </c>
      <c r="BH305">
        <v>47</v>
      </c>
      <c r="BI305">
        <v>48</v>
      </c>
      <c r="BJ305">
        <v>49</v>
      </c>
      <c r="BK305">
        <v>50</v>
      </c>
      <c r="BL305">
        <v>51</v>
      </c>
      <c r="BM305">
        <v>52</v>
      </c>
      <c r="BN305">
        <v>53</v>
      </c>
      <c r="BO305">
        <v>54</v>
      </c>
      <c r="BP305">
        <v>55</v>
      </c>
      <c r="BQ305">
        <v>56</v>
      </c>
      <c r="BR305">
        <v>57</v>
      </c>
      <c r="BS305">
        <v>58</v>
      </c>
      <c r="BT305">
        <v>59</v>
      </c>
      <c r="BU305">
        <v>60</v>
      </c>
      <c r="BV305">
        <v>61</v>
      </c>
      <c r="BW305">
        <v>62</v>
      </c>
      <c r="BX305">
        <v>63</v>
      </c>
      <c r="BY305">
        <v>64</v>
      </c>
      <c r="BZ305">
        <v>65</v>
      </c>
      <c r="CA305">
        <v>66</v>
      </c>
      <c r="CB305">
        <v>67</v>
      </c>
      <c r="CC305">
        <v>68</v>
      </c>
      <c r="CD305">
        <v>69</v>
      </c>
      <c r="CE305">
        <v>70</v>
      </c>
      <c r="CF305">
        <v>71</v>
      </c>
      <c r="CG305">
        <v>72</v>
      </c>
      <c r="CH305">
        <v>73</v>
      </c>
      <c r="CI305">
        <v>74</v>
      </c>
      <c r="CJ305">
        <v>75</v>
      </c>
      <c r="CK305">
        <v>76</v>
      </c>
      <c r="CL305">
        <v>77</v>
      </c>
      <c r="CM305">
        <v>78</v>
      </c>
      <c r="CN305">
        <v>79</v>
      </c>
      <c r="CO305">
        <v>80</v>
      </c>
      <c r="CP305">
        <v>81</v>
      </c>
      <c r="CQ305">
        <v>82</v>
      </c>
      <c r="CR305">
        <v>83</v>
      </c>
      <c r="CS305">
        <v>84</v>
      </c>
      <c r="CT305">
        <v>85</v>
      </c>
      <c r="CU305">
        <v>86</v>
      </c>
      <c r="CV305">
        <v>87</v>
      </c>
      <c r="CW305">
        <v>88</v>
      </c>
      <c r="CX305">
        <v>89</v>
      </c>
      <c r="CY305">
        <v>90</v>
      </c>
      <c r="CZ305">
        <v>91</v>
      </c>
      <c r="DA305">
        <v>92</v>
      </c>
      <c r="DB305">
        <v>93</v>
      </c>
      <c r="DC305">
        <v>94</v>
      </c>
      <c r="DD305">
        <v>95</v>
      </c>
      <c r="DE305">
        <v>96</v>
      </c>
      <c r="DF305">
        <v>97</v>
      </c>
      <c r="DG305">
        <v>98</v>
      </c>
      <c r="DH305">
        <v>99</v>
      </c>
      <c r="DI305">
        <v>100</v>
      </c>
      <c r="DJ305">
        <v>101</v>
      </c>
      <c r="DK305">
        <v>102</v>
      </c>
      <c r="DL305">
        <v>103</v>
      </c>
      <c r="DM305">
        <v>104</v>
      </c>
      <c r="DN305">
        <v>105</v>
      </c>
      <c r="DO305">
        <v>106</v>
      </c>
      <c r="DP305">
        <v>107</v>
      </c>
      <c r="DQ305">
        <v>108</v>
      </c>
      <c r="DR305">
        <v>109</v>
      </c>
      <c r="DS305">
        <v>110</v>
      </c>
      <c r="DT305">
        <v>111</v>
      </c>
      <c r="DU305">
        <v>112</v>
      </c>
      <c r="DV305">
        <v>113</v>
      </c>
      <c r="DW305">
        <v>114</v>
      </c>
      <c r="DX305">
        <v>115</v>
      </c>
      <c r="DY305">
        <v>116</v>
      </c>
      <c r="DZ305">
        <v>117</v>
      </c>
      <c r="EA305">
        <v>118</v>
      </c>
      <c r="EB305">
        <v>119</v>
      </c>
      <c r="EC305">
        <v>120</v>
      </c>
      <c r="ED305">
        <v>121</v>
      </c>
      <c r="EE305">
        <v>122</v>
      </c>
      <c r="EF305">
        <v>123</v>
      </c>
      <c r="EG305">
        <v>124</v>
      </c>
      <c r="EH305">
        <v>125</v>
      </c>
      <c r="EI305">
        <v>126</v>
      </c>
      <c r="EJ305">
        <v>127</v>
      </c>
      <c r="EK305">
        <v>128</v>
      </c>
      <c r="EL305">
        <v>129</v>
      </c>
      <c r="EM305">
        <v>130</v>
      </c>
      <c r="EN305">
        <v>131</v>
      </c>
      <c r="EO305">
        <v>132</v>
      </c>
      <c r="EP305">
        <v>133</v>
      </c>
      <c r="EQ305">
        <v>134</v>
      </c>
      <c r="ER305">
        <v>135</v>
      </c>
      <c r="ES305">
        <v>136</v>
      </c>
      <c r="ET305">
        <v>137</v>
      </c>
      <c r="EU305">
        <v>138</v>
      </c>
      <c r="EV305">
        <v>139</v>
      </c>
      <c r="EW305">
        <v>140</v>
      </c>
      <c r="EX305">
        <v>141</v>
      </c>
      <c r="EY305">
        <v>142</v>
      </c>
      <c r="EZ305">
        <v>143</v>
      </c>
      <c r="FA305">
        <v>144</v>
      </c>
      <c r="FB305">
        <v>145</v>
      </c>
      <c r="FC305">
        <v>146</v>
      </c>
      <c r="FD305">
        <v>147</v>
      </c>
      <c r="FE305">
        <v>148</v>
      </c>
      <c r="FF305">
        <v>149</v>
      </c>
      <c r="FG305">
        <v>150</v>
      </c>
      <c r="FH305">
        <v>151</v>
      </c>
      <c r="FI305">
        <v>152</v>
      </c>
      <c r="FJ305">
        <v>153</v>
      </c>
      <c r="FK305">
        <v>154</v>
      </c>
      <c r="FL305">
        <v>155</v>
      </c>
      <c r="FM305">
        <v>156</v>
      </c>
      <c r="FN305">
        <v>157</v>
      </c>
      <c r="FO305">
        <v>158</v>
      </c>
      <c r="FP305">
        <v>159</v>
      </c>
      <c r="FQ305">
        <v>160</v>
      </c>
      <c r="FR305">
        <v>161</v>
      </c>
      <c r="FS305">
        <v>162</v>
      </c>
      <c r="FT305">
        <v>163</v>
      </c>
      <c r="FU305">
        <v>164</v>
      </c>
      <c r="FV305">
        <v>165</v>
      </c>
      <c r="FW305">
        <v>166</v>
      </c>
      <c r="FX305">
        <v>167</v>
      </c>
      <c r="FY305">
        <v>168</v>
      </c>
      <c r="FZ305">
        <v>169</v>
      </c>
      <c r="GA305">
        <v>170</v>
      </c>
      <c r="GB305">
        <v>171</v>
      </c>
      <c r="GC305">
        <v>172</v>
      </c>
      <c r="GD305">
        <v>173</v>
      </c>
      <c r="GE305">
        <v>174</v>
      </c>
      <c r="GF305">
        <v>175</v>
      </c>
      <c r="GG305">
        <v>176</v>
      </c>
      <c r="GH305">
        <v>177</v>
      </c>
      <c r="GI305">
        <v>178</v>
      </c>
      <c r="GJ305">
        <v>179</v>
      </c>
      <c r="GK305">
        <v>180</v>
      </c>
      <c r="GL305">
        <v>181</v>
      </c>
      <c r="GM305">
        <v>182</v>
      </c>
      <c r="GN305">
        <v>183</v>
      </c>
      <c r="GO305">
        <v>184</v>
      </c>
      <c r="GP305">
        <v>185</v>
      </c>
      <c r="GQ305">
        <v>186</v>
      </c>
      <c r="GR305">
        <v>187</v>
      </c>
      <c r="GS305">
        <v>188</v>
      </c>
      <c r="GT305">
        <v>189</v>
      </c>
      <c r="GU305">
        <v>190</v>
      </c>
      <c r="GV305">
        <v>191</v>
      </c>
      <c r="GW305">
        <v>192</v>
      </c>
      <c r="GX305">
        <v>193</v>
      </c>
      <c r="GY305">
        <v>194</v>
      </c>
      <c r="GZ305">
        <v>195</v>
      </c>
      <c r="HA305">
        <v>196</v>
      </c>
      <c r="HB305">
        <v>197</v>
      </c>
      <c r="HC305">
        <v>198</v>
      </c>
      <c r="HD305">
        <v>199</v>
      </c>
      <c r="HE305">
        <v>200</v>
      </c>
      <c r="HF305">
        <v>201</v>
      </c>
      <c r="HG305">
        <v>202</v>
      </c>
      <c r="HH305">
        <v>203</v>
      </c>
      <c r="HI305">
        <v>204</v>
      </c>
      <c r="HJ305">
        <v>205</v>
      </c>
      <c r="HK305">
        <v>206</v>
      </c>
      <c r="HL305">
        <v>207</v>
      </c>
      <c r="HM305">
        <v>208</v>
      </c>
      <c r="HN305">
        <v>209</v>
      </c>
      <c r="HO305">
        <v>210</v>
      </c>
      <c r="HP305">
        <v>211</v>
      </c>
      <c r="HQ305">
        <v>212</v>
      </c>
      <c r="HR305">
        <v>213</v>
      </c>
      <c r="HS305">
        <v>214</v>
      </c>
      <c r="HT305">
        <v>215</v>
      </c>
      <c r="HU305">
        <v>216</v>
      </c>
      <c r="HV305">
        <v>217</v>
      </c>
      <c r="HW305">
        <v>218</v>
      </c>
      <c r="HX305">
        <v>219</v>
      </c>
      <c r="HY305">
        <v>220</v>
      </c>
      <c r="HZ305">
        <v>221</v>
      </c>
      <c r="IA305">
        <v>222</v>
      </c>
      <c r="IB305">
        <v>223</v>
      </c>
      <c r="IC305">
        <v>224</v>
      </c>
      <c r="ID305">
        <v>225</v>
      </c>
      <c r="IE305">
        <v>226</v>
      </c>
      <c r="IF305">
        <v>227</v>
      </c>
      <c r="IG305">
        <v>228</v>
      </c>
      <c r="IH305">
        <v>229</v>
      </c>
      <c r="II305">
        <v>230</v>
      </c>
      <c r="IJ305">
        <v>231</v>
      </c>
      <c r="IK305">
        <v>232</v>
      </c>
      <c r="IL305">
        <v>233</v>
      </c>
      <c r="IM305">
        <v>234</v>
      </c>
      <c r="IN305">
        <v>235</v>
      </c>
      <c r="IO305">
        <v>236</v>
      </c>
      <c r="IP305">
        <v>237</v>
      </c>
      <c r="IQ305">
        <v>238</v>
      </c>
      <c r="IR305">
        <v>239</v>
      </c>
      <c r="IS305">
        <v>240</v>
      </c>
      <c r="IT305">
        <v>241</v>
      </c>
      <c r="IU305">
        <v>242</v>
      </c>
      <c r="IV305">
        <v>243</v>
      </c>
      <c r="IW305">
        <v>244</v>
      </c>
      <c r="IX305">
        <v>245</v>
      </c>
      <c r="IY305">
        <v>246</v>
      </c>
      <c r="IZ305">
        <v>247</v>
      </c>
      <c r="JA305">
        <v>248</v>
      </c>
      <c r="JB305">
        <v>249</v>
      </c>
      <c r="JC305">
        <v>250</v>
      </c>
      <c r="JD305">
        <v>251</v>
      </c>
      <c r="JE305">
        <v>252</v>
      </c>
      <c r="JF305">
        <v>253</v>
      </c>
      <c r="JG305">
        <v>254</v>
      </c>
      <c r="JH305">
        <v>255</v>
      </c>
      <c r="JI305">
        <v>256</v>
      </c>
      <c r="JJ305">
        <v>257</v>
      </c>
      <c r="JK305">
        <v>258</v>
      </c>
      <c r="JL305">
        <v>259</v>
      </c>
      <c r="JM305">
        <v>260</v>
      </c>
      <c r="JN305">
        <v>261</v>
      </c>
      <c r="JO305">
        <v>262</v>
      </c>
      <c r="JP305">
        <v>263</v>
      </c>
      <c r="JQ305">
        <v>264</v>
      </c>
      <c r="JR305">
        <v>265</v>
      </c>
      <c r="JS305">
        <v>266</v>
      </c>
      <c r="JT305">
        <v>267</v>
      </c>
      <c r="JU305">
        <v>268</v>
      </c>
      <c r="JV305">
        <v>269</v>
      </c>
      <c r="JW305">
        <v>270</v>
      </c>
      <c r="JX305">
        <v>271</v>
      </c>
      <c r="JY305">
        <v>272</v>
      </c>
      <c r="JZ305">
        <v>273</v>
      </c>
      <c r="KA305">
        <v>274</v>
      </c>
      <c r="KB305">
        <v>275</v>
      </c>
      <c r="KC305">
        <v>276</v>
      </c>
      <c r="KD305">
        <v>277</v>
      </c>
      <c r="KE305">
        <v>278</v>
      </c>
      <c r="KF305">
        <v>279</v>
      </c>
      <c r="KG305">
        <v>280</v>
      </c>
      <c r="KH305">
        <v>281</v>
      </c>
      <c r="KI305">
        <v>282</v>
      </c>
      <c r="KJ305">
        <v>283</v>
      </c>
      <c r="KK305">
        <v>284</v>
      </c>
      <c r="KL305">
        <v>285</v>
      </c>
      <c r="KM305">
        <v>286</v>
      </c>
      <c r="KN305">
        <v>287</v>
      </c>
      <c r="KO305">
        <v>288</v>
      </c>
      <c r="KP305">
        <v>289</v>
      </c>
      <c r="KQ305">
        <v>290</v>
      </c>
      <c r="KR305">
        <v>291</v>
      </c>
      <c r="KS305">
        <v>292</v>
      </c>
      <c r="KT305">
        <v>293</v>
      </c>
      <c r="KU305">
        <v>294</v>
      </c>
      <c r="KV305">
        <v>295</v>
      </c>
      <c r="KW305">
        <v>296</v>
      </c>
      <c r="KX305">
        <v>297</v>
      </c>
      <c r="KY305">
        <v>298</v>
      </c>
      <c r="KZ305">
        <v>299</v>
      </c>
      <c r="LA305">
        <v>300</v>
      </c>
      <c r="LB305">
        <v>301</v>
      </c>
      <c r="LC305">
        <v>302</v>
      </c>
      <c r="LD305">
        <v>303</v>
      </c>
      <c r="LE305">
        <v>304</v>
      </c>
      <c r="LF305">
        <v>305</v>
      </c>
      <c r="LG305">
        <v>306</v>
      </c>
      <c r="LH305">
        <v>307</v>
      </c>
      <c r="LI305">
        <v>308</v>
      </c>
      <c r="LJ305">
        <v>309</v>
      </c>
      <c r="LK305">
        <v>310</v>
      </c>
      <c r="LL305">
        <v>311</v>
      </c>
      <c r="LM305">
        <v>312</v>
      </c>
      <c r="LN305">
        <v>313</v>
      </c>
      <c r="LO305">
        <v>314</v>
      </c>
      <c r="LP305">
        <v>315</v>
      </c>
      <c r="LQ305">
        <v>316</v>
      </c>
      <c r="LR305">
        <v>317</v>
      </c>
      <c r="LS305">
        <v>318</v>
      </c>
      <c r="LT305">
        <v>319</v>
      </c>
      <c r="LU305">
        <v>320</v>
      </c>
      <c r="LV305">
        <v>321</v>
      </c>
      <c r="LW305">
        <v>322</v>
      </c>
      <c r="LX305">
        <v>323</v>
      </c>
      <c r="LY305">
        <v>324</v>
      </c>
      <c r="LZ305">
        <v>325</v>
      </c>
      <c r="MA305">
        <v>326</v>
      </c>
      <c r="MB305">
        <v>327</v>
      </c>
      <c r="MC305">
        <v>328</v>
      </c>
      <c r="MD305">
        <v>329</v>
      </c>
      <c r="ME305">
        <v>330</v>
      </c>
      <c r="MF305">
        <v>331</v>
      </c>
      <c r="MG305">
        <v>332</v>
      </c>
      <c r="MH305">
        <v>333</v>
      </c>
      <c r="MI305">
        <v>334</v>
      </c>
      <c r="MJ305">
        <v>335</v>
      </c>
      <c r="MK305">
        <v>336</v>
      </c>
      <c r="ML305">
        <v>337</v>
      </c>
      <c r="MM305">
        <v>338</v>
      </c>
      <c r="MN305">
        <v>339</v>
      </c>
      <c r="MO305">
        <v>340</v>
      </c>
      <c r="MP305">
        <v>341</v>
      </c>
      <c r="MQ305">
        <v>342</v>
      </c>
      <c r="MR305">
        <v>343</v>
      </c>
      <c r="MS305">
        <v>344</v>
      </c>
      <c r="MT305">
        <v>345</v>
      </c>
      <c r="MU305">
        <v>346</v>
      </c>
      <c r="MV305">
        <v>347</v>
      </c>
      <c r="MW305">
        <v>348</v>
      </c>
      <c r="MX305">
        <v>349</v>
      </c>
      <c r="MY305">
        <v>350</v>
      </c>
      <c r="MZ305">
        <v>351</v>
      </c>
      <c r="NA305">
        <v>352</v>
      </c>
      <c r="NB305">
        <v>353</v>
      </c>
      <c r="NC305">
        <v>354</v>
      </c>
      <c r="ND305">
        <v>355</v>
      </c>
      <c r="NE305">
        <v>356</v>
      </c>
      <c r="NF305">
        <v>357</v>
      </c>
      <c r="NG305">
        <v>358</v>
      </c>
      <c r="NH305">
        <v>359</v>
      </c>
      <c r="NI305">
        <v>360</v>
      </c>
    </row>
    <row r="306" spans="1:373" x14ac:dyDescent="0.25">
      <c r="A306">
        <v>1</v>
      </c>
      <c r="B306">
        <v>1</v>
      </c>
      <c r="C306">
        <v>1</v>
      </c>
      <c r="D306">
        <v>1</v>
      </c>
      <c r="E306">
        <v>1</v>
      </c>
      <c r="F306">
        <v>1</v>
      </c>
      <c r="G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1</v>
      </c>
      <c r="V306">
        <v>1</v>
      </c>
      <c r="W306">
        <v>1</v>
      </c>
      <c r="X306">
        <v>1</v>
      </c>
      <c r="Y306">
        <v>1</v>
      </c>
      <c r="Z306">
        <v>1</v>
      </c>
      <c r="AA306">
        <v>1</v>
      </c>
      <c r="AB306">
        <v>1</v>
      </c>
      <c r="AC306">
        <v>1</v>
      </c>
      <c r="AD306">
        <v>1</v>
      </c>
      <c r="AE306">
        <v>1</v>
      </c>
      <c r="AF306">
        <v>1</v>
      </c>
      <c r="AG306">
        <v>1</v>
      </c>
      <c r="AH306">
        <v>1</v>
      </c>
      <c r="AI306">
        <v>1</v>
      </c>
      <c r="AJ306">
        <v>1</v>
      </c>
      <c r="AK306">
        <v>1</v>
      </c>
      <c r="AL306">
        <v>1</v>
      </c>
      <c r="AM306">
        <v>1</v>
      </c>
      <c r="AN306">
        <v>1</v>
      </c>
      <c r="AO306">
        <v>1</v>
      </c>
      <c r="AP306">
        <v>1</v>
      </c>
      <c r="AQ306">
        <v>1</v>
      </c>
      <c r="AR306">
        <v>1</v>
      </c>
      <c r="AS306">
        <v>1</v>
      </c>
      <c r="AT306">
        <v>1</v>
      </c>
      <c r="AU306">
        <v>1</v>
      </c>
      <c r="AV306">
        <v>1</v>
      </c>
      <c r="AW306">
        <v>1</v>
      </c>
      <c r="AX306">
        <v>1</v>
      </c>
      <c r="AY306">
        <v>1</v>
      </c>
      <c r="AZ306">
        <v>1</v>
      </c>
      <c r="BA306">
        <v>1</v>
      </c>
      <c r="BB306">
        <v>1</v>
      </c>
      <c r="BC306">
        <v>1</v>
      </c>
      <c r="BD306">
        <v>1</v>
      </c>
      <c r="BE306">
        <v>1</v>
      </c>
      <c r="BF306">
        <v>1</v>
      </c>
      <c r="BG306">
        <v>1</v>
      </c>
      <c r="BH306">
        <v>1</v>
      </c>
      <c r="BI306">
        <v>1</v>
      </c>
      <c r="BJ306">
        <v>1</v>
      </c>
      <c r="BK306">
        <v>1</v>
      </c>
      <c r="BL306">
        <v>1</v>
      </c>
      <c r="BM306">
        <v>1</v>
      </c>
      <c r="BN306">
        <v>1</v>
      </c>
      <c r="BO306">
        <v>1</v>
      </c>
      <c r="BP306">
        <v>1</v>
      </c>
      <c r="BQ306">
        <v>1</v>
      </c>
      <c r="BR306">
        <v>1</v>
      </c>
      <c r="BS306">
        <v>1</v>
      </c>
      <c r="BT306">
        <v>1</v>
      </c>
      <c r="BU306">
        <v>1</v>
      </c>
      <c r="BV306">
        <v>1</v>
      </c>
      <c r="BW306">
        <v>1</v>
      </c>
      <c r="BX306">
        <v>1</v>
      </c>
      <c r="BY306">
        <v>1</v>
      </c>
      <c r="BZ306">
        <v>1</v>
      </c>
      <c r="CA306">
        <v>1</v>
      </c>
      <c r="CB306">
        <v>1</v>
      </c>
      <c r="CC306">
        <v>1</v>
      </c>
      <c r="CD306">
        <v>1</v>
      </c>
      <c r="CE306">
        <v>1</v>
      </c>
      <c r="CF306">
        <v>1</v>
      </c>
      <c r="CG306">
        <v>1</v>
      </c>
      <c r="CH306">
        <v>1</v>
      </c>
      <c r="CI306">
        <v>1</v>
      </c>
      <c r="CJ306">
        <v>1</v>
      </c>
      <c r="CK306">
        <v>1</v>
      </c>
      <c r="CL306">
        <v>1</v>
      </c>
      <c r="CM306">
        <v>1</v>
      </c>
      <c r="CN306">
        <v>1</v>
      </c>
      <c r="CO306">
        <v>1</v>
      </c>
      <c r="CP306">
        <v>1</v>
      </c>
      <c r="CQ306">
        <v>1</v>
      </c>
      <c r="CR306">
        <v>1</v>
      </c>
      <c r="CS306">
        <v>1</v>
      </c>
      <c r="CT306">
        <v>1</v>
      </c>
      <c r="CU306">
        <v>1</v>
      </c>
      <c r="CV306">
        <v>1</v>
      </c>
      <c r="CW306">
        <v>1</v>
      </c>
      <c r="CX306">
        <v>1</v>
      </c>
      <c r="CY306">
        <v>1</v>
      </c>
      <c r="CZ306">
        <v>1</v>
      </c>
      <c r="DA306">
        <v>1</v>
      </c>
      <c r="DB306">
        <v>1</v>
      </c>
      <c r="DC306">
        <v>1</v>
      </c>
      <c r="DD306">
        <v>1</v>
      </c>
      <c r="DE306">
        <v>1</v>
      </c>
      <c r="DF306">
        <v>1</v>
      </c>
      <c r="DG306">
        <v>1</v>
      </c>
      <c r="DH306">
        <v>1</v>
      </c>
      <c r="DI306">
        <v>1</v>
      </c>
      <c r="DJ306">
        <v>1</v>
      </c>
      <c r="DK306">
        <v>1</v>
      </c>
      <c r="DL306">
        <v>1</v>
      </c>
      <c r="DM306">
        <v>1</v>
      </c>
      <c r="DN306">
        <v>1</v>
      </c>
      <c r="DO306">
        <v>1</v>
      </c>
      <c r="DP306">
        <v>1</v>
      </c>
      <c r="DQ306">
        <v>1</v>
      </c>
      <c r="DR306">
        <v>1</v>
      </c>
      <c r="DS306">
        <v>1</v>
      </c>
      <c r="DT306">
        <v>1</v>
      </c>
      <c r="DU306">
        <v>1</v>
      </c>
      <c r="DV306">
        <v>1</v>
      </c>
      <c r="DW306">
        <v>1</v>
      </c>
      <c r="DX306">
        <v>1</v>
      </c>
      <c r="DY306">
        <v>1</v>
      </c>
      <c r="DZ306">
        <v>1</v>
      </c>
      <c r="EA306">
        <v>1</v>
      </c>
      <c r="EB306">
        <v>1</v>
      </c>
      <c r="EC306">
        <v>1</v>
      </c>
      <c r="ED306">
        <v>1</v>
      </c>
      <c r="EE306">
        <v>1</v>
      </c>
      <c r="EF306">
        <v>1</v>
      </c>
      <c r="EG306">
        <v>1</v>
      </c>
      <c r="EH306">
        <v>1</v>
      </c>
      <c r="EI306">
        <v>1</v>
      </c>
      <c r="EJ306">
        <v>1</v>
      </c>
      <c r="EK306">
        <v>1</v>
      </c>
      <c r="EL306">
        <v>1</v>
      </c>
      <c r="EM306">
        <v>1</v>
      </c>
      <c r="EN306">
        <v>1</v>
      </c>
      <c r="EO306">
        <v>1</v>
      </c>
      <c r="EP306">
        <v>1</v>
      </c>
      <c r="EQ306">
        <v>1</v>
      </c>
      <c r="ER306">
        <v>1</v>
      </c>
      <c r="ES306">
        <v>1</v>
      </c>
      <c r="ET306">
        <v>1</v>
      </c>
      <c r="EU306">
        <v>1</v>
      </c>
      <c r="EV306">
        <v>1</v>
      </c>
      <c r="EW306">
        <v>1</v>
      </c>
      <c r="EX306">
        <v>1</v>
      </c>
      <c r="EY306">
        <v>1</v>
      </c>
      <c r="EZ306">
        <v>1</v>
      </c>
      <c r="FA306">
        <v>1</v>
      </c>
      <c r="FB306">
        <v>1</v>
      </c>
      <c r="FC306">
        <v>1</v>
      </c>
      <c r="FD306">
        <v>1</v>
      </c>
      <c r="FE306">
        <v>1</v>
      </c>
      <c r="FF306">
        <v>1</v>
      </c>
      <c r="FG306">
        <v>1</v>
      </c>
      <c r="FH306">
        <v>1</v>
      </c>
      <c r="FI306">
        <v>1</v>
      </c>
      <c r="FJ306">
        <v>1</v>
      </c>
      <c r="FK306">
        <v>1</v>
      </c>
      <c r="FL306">
        <v>1</v>
      </c>
      <c r="FM306">
        <v>1</v>
      </c>
      <c r="FN306">
        <v>1</v>
      </c>
      <c r="FO306">
        <v>1</v>
      </c>
      <c r="FP306">
        <v>1</v>
      </c>
      <c r="FQ306">
        <v>1</v>
      </c>
      <c r="FR306">
        <v>1</v>
      </c>
      <c r="FS306">
        <v>1</v>
      </c>
      <c r="FT306">
        <v>1</v>
      </c>
      <c r="FU306">
        <v>1</v>
      </c>
      <c r="FV306">
        <v>1</v>
      </c>
      <c r="FW306">
        <v>1</v>
      </c>
      <c r="FX306">
        <v>1</v>
      </c>
      <c r="FY306">
        <v>1</v>
      </c>
      <c r="FZ306">
        <v>1</v>
      </c>
      <c r="GA306">
        <v>1</v>
      </c>
      <c r="GB306">
        <v>1</v>
      </c>
      <c r="GC306">
        <v>1</v>
      </c>
      <c r="GD306">
        <v>1</v>
      </c>
      <c r="GE306">
        <v>1</v>
      </c>
      <c r="GF306">
        <v>1</v>
      </c>
      <c r="GG306">
        <v>1</v>
      </c>
      <c r="GH306">
        <v>1</v>
      </c>
      <c r="GI306">
        <v>1</v>
      </c>
      <c r="GJ306">
        <v>1</v>
      </c>
      <c r="GK306">
        <v>1</v>
      </c>
      <c r="GL306">
        <v>1</v>
      </c>
      <c r="GM306">
        <v>1</v>
      </c>
      <c r="GN306">
        <v>1</v>
      </c>
      <c r="GO306">
        <v>1</v>
      </c>
      <c r="GP306">
        <v>1</v>
      </c>
      <c r="GQ306">
        <v>1</v>
      </c>
      <c r="GR306">
        <v>1</v>
      </c>
      <c r="GS306">
        <v>1</v>
      </c>
      <c r="GT306">
        <v>1</v>
      </c>
      <c r="GU306">
        <v>1</v>
      </c>
      <c r="GV306">
        <v>1</v>
      </c>
      <c r="GW306">
        <v>1</v>
      </c>
      <c r="GX306">
        <v>1</v>
      </c>
      <c r="GY306">
        <v>1</v>
      </c>
      <c r="GZ306">
        <v>1</v>
      </c>
      <c r="HA306">
        <v>1</v>
      </c>
      <c r="HB306">
        <v>1</v>
      </c>
      <c r="HC306">
        <v>1</v>
      </c>
      <c r="HD306">
        <v>1</v>
      </c>
      <c r="HE306">
        <v>1</v>
      </c>
      <c r="HF306">
        <v>1</v>
      </c>
      <c r="HG306">
        <v>1</v>
      </c>
      <c r="HH306">
        <v>1</v>
      </c>
      <c r="HI306">
        <v>1</v>
      </c>
      <c r="HJ306">
        <v>1</v>
      </c>
      <c r="HK306">
        <v>1</v>
      </c>
      <c r="HL306">
        <v>1</v>
      </c>
      <c r="HM306">
        <v>1</v>
      </c>
      <c r="HN306">
        <v>1</v>
      </c>
      <c r="HO306">
        <v>1</v>
      </c>
      <c r="HP306">
        <v>1</v>
      </c>
      <c r="HQ306">
        <v>1</v>
      </c>
      <c r="HR306">
        <v>1</v>
      </c>
      <c r="HS306">
        <v>1</v>
      </c>
      <c r="HT306">
        <v>1</v>
      </c>
      <c r="HU306">
        <v>1</v>
      </c>
      <c r="HV306">
        <v>1</v>
      </c>
      <c r="HW306">
        <v>1</v>
      </c>
      <c r="HX306">
        <v>1</v>
      </c>
      <c r="HY306">
        <v>1</v>
      </c>
      <c r="HZ306">
        <v>1</v>
      </c>
      <c r="IA306">
        <v>1</v>
      </c>
      <c r="IB306">
        <v>1</v>
      </c>
      <c r="IC306">
        <v>1</v>
      </c>
      <c r="ID306">
        <v>1</v>
      </c>
      <c r="IE306">
        <v>1</v>
      </c>
      <c r="IF306">
        <v>1</v>
      </c>
      <c r="IG306">
        <v>1</v>
      </c>
      <c r="IH306">
        <v>1</v>
      </c>
      <c r="II306">
        <v>1</v>
      </c>
      <c r="IJ306">
        <v>1</v>
      </c>
      <c r="IK306">
        <v>1</v>
      </c>
      <c r="IL306">
        <v>1</v>
      </c>
      <c r="IM306">
        <v>1</v>
      </c>
      <c r="IN306">
        <v>1</v>
      </c>
      <c r="IO306">
        <v>1</v>
      </c>
      <c r="IP306">
        <v>1</v>
      </c>
      <c r="IQ306">
        <v>1</v>
      </c>
      <c r="IR306">
        <v>1</v>
      </c>
      <c r="IS306">
        <v>1</v>
      </c>
      <c r="IT306">
        <v>1</v>
      </c>
      <c r="IU306">
        <v>1</v>
      </c>
      <c r="IV306">
        <v>1</v>
      </c>
      <c r="IW306">
        <v>1</v>
      </c>
      <c r="IX306">
        <v>1</v>
      </c>
      <c r="IY306">
        <v>1</v>
      </c>
      <c r="IZ306">
        <v>1</v>
      </c>
      <c r="JA306">
        <v>1</v>
      </c>
      <c r="JB306">
        <v>1</v>
      </c>
      <c r="JC306">
        <v>1</v>
      </c>
      <c r="JD306">
        <v>1</v>
      </c>
      <c r="JE306">
        <v>1</v>
      </c>
      <c r="JF306">
        <v>1</v>
      </c>
      <c r="JG306">
        <v>1</v>
      </c>
      <c r="JH306">
        <v>1</v>
      </c>
      <c r="JI306">
        <v>1</v>
      </c>
      <c r="JJ306">
        <v>1</v>
      </c>
      <c r="JK306">
        <v>1</v>
      </c>
      <c r="JL306">
        <v>1</v>
      </c>
      <c r="JM306">
        <v>1</v>
      </c>
      <c r="JN306">
        <v>1</v>
      </c>
      <c r="JO306">
        <v>1</v>
      </c>
      <c r="JP306">
        <v>1</v>
      </c>
      <c r="JQ306">
        <v>1</v>
      </c>
      <c r="JR306">
        <v>1</v>
      </c>
      <c r="JS306">
        <v>1</v>
      </c>
      <c r="JT306">
        <v>1</v>
      </c>
      <c r="JU306">
        <v>1</v>
      </c>
      <c r="JV306">
        <v>1</v>
      </c>
      <c r="JW306">
        <v>1</v>
      </c>
      <c r="JX306">
        <v>1</v>
      </c>
      <c r="JY306">
        <v>1</v>
      </c>
      <c r="JZ306">
        <v>1</v>
      </c>
      <c r="KA306">
        <v>1</v>
      </c>
      <c r="KB306">
        <v>1</v>
      </c>
      <c r="KC306">
        <v>1</v>
      </c>
      <c r="KD306">
        <v>1</v>
      </c>
      <c r="KE306">
        <v>1</v>
      </c>
      <c r="KF306">
        <v>1</v>
      </c>
      <c r="KG306">
        <v>1</v>
      </c>
      <c r="KH306">
        <v>1</v>
      </c>
      <c r="KI306">
        <v>1</v>
      </c>
      <c r="KJ306">
        <v>1</v>
      </c>
      <c r="KK306">
        <v>1</v>
      </c>
      <c r="KL306">
        <v>1</v>
      </c>
      <c r="KM306">
        <v>1</v>
      </c>
      <c r="KN306">
        <v>1</v>
      </c>
      <c r="KO306">
        <v>1</v>
      </c>
      <c r="KP306">
        <v>1</v>
      </c>
      <c r="KQ306">
        <v>1</v>
      </c>
      <c r="KR306">
        <v>1</v>
      </c>
      <c r="KS306">
        <v>1</v>
      </c>
      <c r="KT306">
        <v>1</v>
      </c>
      <c r="KU306">
        <v>1</v>
      </c>
      <c r="KV306">
        <v>1</v>
      </c>
      <c r="KW306">
        <v>1</v>
      </c>
      <c r="KX306">
        <v>1</v>
      </c>
      <c r="KY306">
        <v>1</v>
      </c>
      <c r="KZ306">
        <v>1</v>
      </c>
      <c r="LA306">
        <v>1</v>
      </c>
      <c r="LB306">
        <v>1</v>
      </c>
      <c r="LC306">
        <v>1</v>
      </c>
      <c r="LD306">
        <v>1</v>
      </c>
      <c r="LE306">
        <v>1</v>
      </c>
      <c r="LF306">
        <v>1</v>
      </c>
      <c r="LG306">
        <v>1</v>
      </c>
      <c r="LH306">
        <v>1</v>
      </c>
      <c r="LI306">
        <v>1</v>
      </c>
      <c r="LJ306">
        <v>1</v>
      </c>
      <c r="LK306">
        <v>1</v>
      </c>
      <c r="LL306">
        <v>1</v>
      </c>
      <c r="LM306">
        <v>1</v>
      </c>
      <c r="LN306">
        <v>1</v>
      </c>
      <c r="LO306">
        <v>1</v>
      </c>
      <c r="LP306">
        <v>1</v>
      </c>
      <c r="LQ306">
        <v>1</v>
      </c>
      <c r="LR306">
        <v>1</v>
      </c>
      <c r="LS306">
        <v>1</v>
      </c>
      <c r="LT306">
        <v>1</v>
      </c>
      <c r="LU306">
        <v>1</v>
      </c>
      <c r="LV306">
        <v>1</v>
      </c>
      <c r="LW306">
        <v>1</v>
      </c>
      <c r="LX306">
        <v>1</v>
      </c>
      <c r="LY306">
        <v>1</v>
      </c>
      <c r="LZ306">
        <v>1</v>
      </c>
      <c r="MA306">
        <v>1</v>
      </c>
      <c r="MB306">
        <v>1</v>
      </c>
      <c r="MC306">
        <v>1</v>
      </c>
      <c r="MD306">
        <v>1</v>
      </c>
      <c r="ME306">
        <v>1</v>
      </c>
      <c r="MF306">
        <v>1</v>
      </c>
      <c r="MG306">
        <v>1</v>
      </c>
      <c r="MH306">
        <v>1</v>
      </c>
      <c r="MI306">
        <v>1</v>
      </c>
      <c r="MJ306">
        <v>1</v>
      </c>
      <c r="MK306">
        <v>1</v>
      </c>
      <c r="ML306">
        <v>1</v>
      </c>
      <c r="MM306">
        <v>1</v>
      </c>
      <c r="MN306">
        <v>1</v>
      </c>
      <c r="MO306">
        <v>1</v>
      </c>
      <c r="MP306">
        <v>1</v>
      </c>
      <c r="MQ306">
        <v>1</v>
      </c>
      <c r="MR306">
        <v>1</v>
      </c>
      <c r="MS306">
        <v>1</v>
      </c>
      <c r="MT306">
        <v>1</v>
      </c>
      <c r="MU306">
        <v>1</v>
      </c>
      <c r="MV306">
        <v>1</v>
      </c>
      <c r="MW306">
        <v>1</v>
      </c>
      <c r="MX306">
        <v>1</v>
      </c>
      <c r="MY306">
        <v>1</v>
      </c>
      <c r="MZ306">
        <v>1</v>
      </c>
      <c r="NA306">
        <v>1</v>
      </c>
      <c r="NB306">
        <v>1</v>
      </c>
      <c r="NC306">
        <v>1</v>
      </c>
      <c r="ND306">
        <v>1</v>
      </c>
      <c r="NE306">
        <v>1</v>
      </c>
      <c r="NF306">
        <v>1</v>
      </c>
      <c r="NG306">
        <v>1</v>
      </c>
      <c r="NH306">
        <v>1</v>
      </c>
      <c r="NI306">
        <v>1</v>
      </c>
    </row>
    <row r="307" spans="1:373" x14ac:dyDescent="0.25">
      <c r="A307" s="9">
        <v>0</v>
      </c>
      <c r="B307" s="9">
        <f>A307+30</f>
        <v>30</v>
      </c>
      <c r="C307" s="9">
        <f t="shared" ref="C307:I307" si="54">B307+30</f>
        <v>60</v>
      </c>
      <c r="D307" s="9">
        <f t="shared" si="54"/>
        <v>90</v>
      </c>
      <c r="E307" s="9">
        <f t="shared" si="54"/>
        <v>120</v>
      </c>
      <c r="F307" s="9">
        <f t="shared" si="54"/>
        <v>150</v>
      </c>
      <c r="G307" s="9">
        <f t="shared" si="54"/>
        <v>180</v>
      </c>
      <c r="H307" s="9">
        <f t="shared" si="54"/>
        <v>210</v>
      </c>
      <c r="I307" s="9">
        <f t="shared" si="54"/>
        <v>240</v>
      </c>
      <c r="J307" s="9">
        <f>I307+30</f>
        <v>270</v>
      </c>
      <c r="K307" s="9">
        <f t="shared" ref="K307:M307" si="55">J307+30</f>
        <v>300</v>
      </c>
      <c r="L307" s="9">
        <f t="shared" si="55"/>
        <v>330</v>
      </c>
      <c r="M307" s="9">
        <f t="shared" si="55"/>
        <v>360</v>
      </c>
      <c r="N307" s="9">
        <v>0</v>
      </c>
      <c r="O307" s="9">
        <f>N307+1</f>
        <v>1</v>
      </c>
      <c r="P307" s="9">
        <f>O307+1</f>
        <v>2</v>
      </c>
      <c r="Q307" s="9">
        <f t="shared" ref="Q307:CB307" si="56">P307+1</f>
        <v>3</v>
      </c>
      <c r="R307" s="9">
        <f t="shared" si="56"/>
        <v>4</v>
      </c>
      <c r="S307" s="9">
        <f t="shared" si="56"/>
        <v>5</v>
      </c>
      <c r="T307" s="9">
        <f t="shared" si="56"/>
        <v>6</v>
      </c>
      <c r="U307" s="9">
        <f t="shared" si="56"/>
        <v>7</v>
      </c>
      <c r="V307" s="9">
        <f t="shared" si="56"/>
        <v>8</v>
      </c>
      <c r="W307" s="9">
        <f t="shared" si="56"/>
        <v>9</v>
      </c>
      <c r="X307" s="9">
        <f t="shared" si="56"/>
        <v>10</v>
      </c>
      <c r="Y307" s="9">
        <f t="shared" si="56"/>
        <v>11</v>
      </c>
      <c r="Z307" s="9">
        <f t="shared" si="56"/>
        <v>12</v>
      </c>
      <c r="AA307" s="9">
        <f t="shared" si="56"/>
        <v>13</v>
      </c>
      <c r="AB307" s="9">
        <f t="shared" si="56"/>
        <v>14</v>
      </c>
      <c r="AC307" s="9">
        <f t="shared" si="56"/>
        <v>15</v>
      </c>
      <c r="AD307" s="9">
        <f t="shared" si="56"/>
        <v>16</v>
      </c>
      <c r="AE307" s="9">
        <f t="shared" si="56"/>
        <v>17</v>
      </c>
      <c r="AF307" s="9">
        <f t="shared" si="56"/>
        <v>18</v>
      </c>
      <c r="AG307" s="9">
        <f t="shared" si="56"/>
        <v>19</v>
      </c>
      <c r="AH307" s="9">
        <f t="shared" si="56"/>
        <v>20</v>
      </c>
      <c r="AI307" s="9">
        <f t="shared" si="56"/>
        <v>21</v>
      </c>
      <c r="AJ307" s="9">
        <f t="shared" si="56"/>
        <v>22</v>
      </c>
      <c r="AK307" s="9">
        <f t="shared" si="56"/>
        <v>23</v>
      </c>
      <c r="AL307" s="9">
        <f t="shared" si="56"/>
        <v>24</v>
      </c>
      <c r="AM307" s="9">
        <f t="shared" si="56"/>
        <v>25</v>
      </c>
      <c r="AN307" s="9">
        <f t="shared" si="56"/>
        <v>26</v>
      </c>
      <c r="AO307" s="9">
        <f t="shared" si="56"/>
        <v>27</v>
      </c>
      <c r="AP307" s="9">
        <f t="shared" si="56"/>
        <v>28</v>
      </c>
      <c r="AQ307" s="9">
        <f t="shared" si="56"/>
        <v>29</v>
      </c>
      <c r="AR307" s="9">
        <f t="shared" si="56"/>
        <v>30</v>
      </c>
      <c r="AS307" s="9">
        <f t="shared" si="56"/>
        <v>31</v>
      </c>
      <c r="AT307" s="9">
        <f t="shared" si="56"/>
        <v>32</v>
      </c>
      <c r="AU307" s="9">
        <f t="shared" si="56"/>
        <v>33</v>
      </c>
      <c r="AV307" s="9">
        <f t="shared" si="56"/>
        <v>34</v>
      </c>
      <c r="AW307" s="9">
        <f t="shared" si="56"/>
        <v>35</v>
      </c>
      <c r="AX307" s="9">
        <f t="shared" si="56"/>
        <v>36</v>
      </c>
      <c r="AY307" s="9">
        <f t="shared" si="56"/>
        <v>37</v>
      </c>
      <c r="AZ307" s="9">
        <f t="shared" si="56"/>
        <v>38</v>
      </c>
      <c r="BA307" s="9">
        <f t="shared" si="56"/>
        <v>39</v>
      </c>
      <c r="BB307" s="9">
        <f t="shared" si="56"/>
        <v>40</v>
      </c>
      <c r="BC307" s="9">
        <f t="shared" si="56"/>
        <v>41</v>
      </c>
      <c r="BD307" s="9">
        <f t="shared" si="56"/>
        <v>42</v>
      </c>
      <c r="BE307" s="9">
        <f t="shared" si="56"/>
        <v>43</v>
      </c>
      <c r="BF307" s="9">
        <f t="shared" si="56"/>
        <v>44</v>
      </c>
      <c r="BG307" s="9">
        <f t="shared" si="56"/>
        <v>45</v>
      </c>
      <c r="BH307" s="9">
        <f t="shared" si="56"/>
        <v>46</v>
      </c>
      <c r="BI307" s="9">
        <f t="shared" si="56"/>
        <v>47</v>
      </c>
      <c r="BJ307" s="9">
        <f t="shared" si="56"/>
        <v>48</v>
      </c>
      <c r="BK307" s="9">
        <f t="shared" si="56"/>
        <v>49</v>
      </c>
      <c r="BL307" s="9">
        <f t="shared" si="56"/>
        <v>50</v>
      </c>
      <c r="BM307" s="9">
        <f t="shared" si="56"/>
        <v>51</v>
      </c>
      <c r="BN307" s="9">
        <f t="shared" si="56"/>
        <v>52</v>
      </c>
      <c r="BO307" s="9">
        <f t="shared" si="56"/>
        <v>53</v>
      </c>
      <c r="BP307" s="9">
        <f t="shared" si="56"/>
        <v>54</v>
      </c>
      <c r="BQ307" s="9">
        <f t="shared" si="56"/>
        <v>55</v>
      </c>
      <c r="BR307" s="9">
        <f t="shared" si="56"/>
        <v>56</v>
      </c>
      <c r="BS307" s="9">
        <f t="shared" si="56"/>
        <v>57</v>
      </c>
      <c r="BT307" s="9">
        <f t="shared" si="56"/>
        <v>58</v>
      </c>
      <c r="BU307" s="9">
        <f t="shared" si="56"/>
        <v>59</v>
      </c>
      <c r="BV307" s="9">
        <f t="shared" si="56"/>
        <v>60</v>
      </c>
      <c r="BW307" s="9">
        <f t="shared" si="56"/>
        <v>61</v>
      </c>
      <c r="BX307" s="9">
        <f t="shared" si="56"/>
        <v>62</v>
      </c>
      <c r="BY307" s="9">
        <f t="shared" si="56"/>
        <v>63</v>
      </c>
      <c r="BZ307" s="9">
        <f t="shared" si="56"/>
        <v>64</v>
      </c>
      <c r="CA307" s="9">
        <f t="shared" si="56"/>
        <v>65</v>
      </c>
      <c r="CB307" s="9">
        <f t="shared" si="56"/>
        <v>66</v>
      </c>
      <c r="CC307" s="9">
        <f t="shared" ref="CC307:EN307" si="57">CB307+1</f>
        <v>67</v>
      </c>
      <c r="CD307" s="9">
        <f t="shared" si="57"/>
        <v>68</v>
      </c>
      <c r="CE307" s="9">
        <f t="shared" si="57"/>
        <v>69</v>
      </c>
      <c r="CF307" s="9">
        <f t="shared" si="57"/>
        <v>70</v>
      </c>
      <c r="CG307" s="9">
        <f t="shared" si="57"/>
        <v>71</v>
      </c>
      <c r="CH307" s="9">
        <f t="shared" si="57"/>
        <v>72</v>
      </c>
      <c r="CI307" s="9">
        <f t="shared" si="57"/>
        <v>73</v>
      </c>
      <c r="CJ307" s="9">
        <f t="shared" si="57"/>
        <v>74</v>
      </c>
      <c r="CK307" s="9">
        <f t="shared" si="57"/>
        <v>75</v>
      </c>
      <c r="CL307" s="9">
        <f t="shared" si="57"/>
        <v>76</v>
      </c>
      <c r="CM307" s="9">
        <f t="shared" si="57"/>
        <v>77</v>
      </c>
      <c r="CN307" s="9">
        <f t="shared" si="57"/>
        <v>78</v>
      </c>
      <c r="CO307" s="9">
        <f t="shared" si="57"/>
        <v>79</v>
      </c>
      <c r="CP307" s="9">
        <f t="shared" si="57"/>
        <v>80</v>
      </c>
      <c r="CQ307" s="9">
        <f t="shared" si="57"/>
        <v>81</v>
      </c>
      <c r="CR307" s="9">
        <f t="shared" si="57"/>
        <v>82</v>
      </c>
      <c r="CS307" s="9">
        <f t="shared" si="57"/>
        <v>83</v>
      </c>
      <c r="CT307" s="9">
        <f t="shared" si="57"/>
        <v>84</v>
      </c>
      <c r="CU307" s="9">
        <f t="shared" si="57"/>
        <v>85</v>
      </c>
      <c r="CV307" s="9">
        <f t="shared" si="57"/>
        <v>86</v>
      </c>
      <c r="CW307" s="9">
        <f t="shared" si="57"/>
        <v>87</v>
      </c>
      <c r="CX307" s="9">
        <f t="shared" si="57"/>
        <v>88</v>
      </c>
      <c r="CY307" s="9">
        <f t="shared" si="57"/>
        <v>89</v>
      </c>
      <c r="CZ307" s="9">
        <f t="shared" si="57"/>
        <v>90</v>
      </c>
      <c r="DA307" s="9">
        <f t="shared" si="57"/>
        <v>91</v>
      </c>
      <c r="DB307" s="9">
        <f t="shared" si="57"/>
        <v>92</v>
      </c>
      <c r="DC307" s="9">
        <f t="shared" si="57"/>
        <v>93</v>
      </c>
      <c r="DD307" s="9">
        <f t="shared" si="57"/>
        <v>94</v>
      </c>
      <c r="DE307" s="9">
        <f t="shared" si="57"/>
        <v>95</v>
      </c>
      <c r="DF307" s="9">
        <f t="shared" si="57"/>
        <v>96</v>
      </c>
      <c r="DG307" s="9">
        <f t="shared" si="57"/>
        <v>97</v>
      </c>
      <c r="DH307" s="9">
        <f t="shared" si="57"/>
        <v>98</v>
      </c>
      <c r="DI307" s="9">
        <f t="shared" si="57"/>
        <v>99</v>
      </c>
      <c r="DJ307" s="9">
        <f t="shared" si="57"/>
        <v>100</v>
      </c>
      <c r="DK307" s="9">
        <f t="shared" si="57"/>
        <v>101</v>
      </c>
      <c r="DL307" s="9">
        <f t="shared" si="57"/>
        <v>102</v>
      </c>
      <c r="DM307" s="9">
        <f t="shared" si="57"/>
        <v>103</v>
      </c>
      <c r="DN307" s="9">
        <f t="shared" si="57"/>
        <v>104</v>
      </c>
      <c r="DO307" s="9">
        <f t="shared" si="57"/>
        <v>105</v>
      </c>
      <c r="DP307" s="9">
        <f t="shared" si="57"/>
        <v>106</v>
      </c>
      <c r="DQ307" s="9">
        <f t="shared" si="57"/>
        <v>107</v>
      </c>
      <c r="DR307" s="9">
        <f t="shared" si="57"/>
        <v>108</v>
      </c>
      <c r="DS307" s="9">
        <f t="shared" si="57"/>
        <v>109</v>
      </c>
      <c r="DT307" s="9">
        <f t="shared" si="57"/>
        <v>110</v>
      </c>
      <c r="DU307" s="9">
        <f t="shared" si="57"/>
        <v>111</v>
      </c>
      <c r="DV307" s="9">
        <f t="shared" si="57"/>
        <v>112</v>
      </c>
      <c r="DW307" s="9">
        <f t="shared" si="57"/>
        <v>113</v>
      </c>
      <c r="DX307" s="9">
        <f t="shared" si="57"/>
        <v>114</v>
      </c>
      <c r="DY307" s="9">
        <f t="shared" si="57"/>
        <v>115</v>
      </c>
      <c r="DZ307" s="9">
        <f t="shared" si="57"/>
        <v>116</v>
      </c>
      <c r="EA307" s="9">
        <f t="shared" si="57"/>
        <v>117</v>
      </c>
      <c r="EB307" s="9">
        <f t="shared" si="57"/>
        <v>118</v>
      </c>
      <c r="EC307" s="9">
        <f t="shared" si="57"/>
        <v>119</v>
      </c>
      <c r="ED307" s="9">
        <f t="shared" si="57"/>
        <v>120</v>
      </c>
      <c r="EE307" s="9">
        <f t="shared" si="57"/>
        <v>121</v>
      </c>
      <c r="EF307" s="9">
        <f t="shared" si="57"/>
        <v>122</v>
      </c>
      <c r="EG307" s="9">
        <f t="shared" si="57"/>
        <v>123</v>
      </c>
      <c r="EH307" s="9">
        <f t="shared" si="57"/>
        <v>124</v>
      </c>
      <c r="EI307" s="9">
        <f t="shared" si="57"/>
        <v>125</v>
      </c>
      <c r="EJ307" s="9">
        <f t="shared" si="57"/>
        <v>126</v>
      </c>
      <c r="EK307" s="9">
        <f t="shared" si="57"/>
        <v>127</v>
      </c>
      <c r="EL307" s="9">
        <f t="shared" si="57"/>
        <v>128</v>
      </c>
      <c r="EM307" s="9">
        <f t="shared" si="57"/>
        <v>129</v>
      </c>
      <c r="EN307" s="9">
        <f t="shared" si="57"/>
        <v>130</v>
      </c>
      <c r="EO307" s="9">
        <f t="shared" ref="EO307:GZ307" si="58">EN307+1</f>
        <v>131</v>
      </c>
      <c r="EP307" s="9">
        <f t="shared" si="58"/>
        <v>132</v>
      </c>
      <c r="EQ307" s="9">
        <f t="shared" si="58"/>
        <v>133</v>
      </c>
      <c r="ER307" s="9">
        <f t="shared" si="58"/>
        <v>134</v>
      </c>
      <c r="ES307" s="9">
        <f t="shared" si="58"/>
        <v>135</v>
      </c>
      <c r="ET307" s="9">
        <f t="shared" si="58"/>
        <v>136</v>
      </c>
      <c r="EU307" s="9">
        <f t="shared" si="58"/>
        <v>137</v>
      </c>
      <c r="EV307" s="9">
        <f t="shared" si="58"/>
        <v>138</v>
      </c>
      <c r="EW307" s="9">
        <f t="shared" si="58"/>
        <v>139</v>
      </c>
      <c r="EX307" s="9">
        <f t="shared" si="58"/>
        <v>140</v>
      </c>
      <c r="EY307" s="9">
        <f t="shared" si="58"/>
        <v>141</v>
      </c>
      <c r="EZ307" s="9">
        <f t="shared" si="58"/>
        <v>142</v>
      </c>
      <c r="FA307" s="9">
        <f t="shared" si="58"/>
        <v>143</v>
      </c>
      <c r="FB307" s="9">
        <f t="shared" si="58"/>
        <v>144</v>
      </c>
      <c r="FC307" s="9">
        <f t="shared" si="58"/>
        <v>145</v>
      </c>
      <c r="FD307" s="9">
        <f t="shared" si="58"/>
        <v>146</v>
      </c>
      <c r="FE307" s="9">
        <f t="shared" si="58"/>
        <v>147</v>
      </c>
      <c r="FF307" s="9">
        <f t="shared" si="58"/>
        <v>148</v>
      </c>
      <c r="FG307" s="9">
        <f t="shared" si="58"/>
        <v>149</v>
      </c>
      <c r="FH307" s="9">
        <f t="shared" si="58"/>
        <v>150</v>
      </c>
      <c r="FI307" s="9">
        <f t="shared" si="58"/>
        <v>151</v>
      </c>
      <c r="FJ307" s="9">
        <f t="shared" si="58"/>
        <v>152</v>
      </c>
      <c r="FK307" s="9">
        <f t="shared" si="58"/>
        <v>153</v>
      </c>
      <c r="FL307" s="9">
        <f t="shared" si="58"/>
        <v>154</v>
      </c>
      <c r="FM307" s="9">
        <f t="shared" si="58"/>
        <v>155</v>
      </c>
      <c r="FN307" s="9">
        <f t="shared" si="58"/>
        <v>156</v>
      </c>
      <c r="FO307" s="9">
        <f t="shared" si="58"/>
        <v>157</v>
      </c>
      <c r="FP307" s="9">
        <f t="shared" si="58"/>
        <v>158</v>
      </c>
      <c r="FQ307" s="9">
        <f t="shared" si="58"/>
        <v>159</v>
      </c>
      <c r="FR307" s="9">
        <f t="shared" si="58"/>
        <v>160</v>
      </c>
      <c r="FS307" s="9">
        <f t="shared" si="58"/>
        <v>161</v>
      </c>
      <c r="FT307" s="9">
        <f t="shared" si="58"/>
        <v>162</v>
      </c>
      <c r="FU307" s="9">
        <f t="shared" si="58"/>
        <v>163</v>
      </c>
      <c r="FV307" s="9">
        <f t="shared" si="58"/>
        <v>164</v>
      </c>
      <c r="FW307" s="9">
        <f t="shared" si="58"/>
        <v>165</v>
      </c>
      <c r="FX307" s="9">
        <f t="shared" si="58"/>
        <v>166</v>
      </c>
      <c r="FY307" s="9">
        <f t="shared" si="58"/>
        <v>167</v>
      </c>
      <c r="FZ307" s="9">
        <f t="shared" si="58"/>
        <v>168</v>
      </c>
      <c r="GA307" s="9">
        <f t="shared" si="58"/>
        <v>169</v>
      </c>
      <c r="GB307" s="9">
        <f t="shared" si="58"/>
        <v>170</v>
      </c>
      <c r="GC307" s="9">
        <f t="shared" si="58"/>
        <v>171</v>
      </c>
      <c r="GD307" s="9">
        <f t="shared" si="58"/>
        <v>172</v>
      </c>
      <c r="GE307" s="9">
        <f t="shared" si="58"/>
        <v>173</v>
      </c>
      <c r="GF307" s="9">
        <f t="shared" si="58"/>
        <v>174</v>
      </c>
      <c r="GG307" s="9">
        <f t="shared" si="58"/>
        <v>175</v>
      </c>
      <c r="GH307" s="9">
        <f t="shared" si="58"/>
        <v>176</v>
      </c>
      <c r="GI307" s="9">
        <f t="shared" si="58"/>
        <v>177</v>
      </c>
      <c r="GJ307" s="9">
        <f t="shared" si="58"/>
        <v>178</v>
      </c>
      <c r="GK307" s="9">
        <f t="shared" si="58"/>
        <v>179</v>
      </c>
      <c r="GL307" s="9">
        <f t="shared" si="58"/>
        <v>180</v>
      </c>
      <c r="GM307" s="9">
        <f t="shared" si="58"/>
        <v>181</v>
      </c>
      <c r="GN307" s="9">
        <f t="shared" si="58"/>
        <v>182</v>
      </c>
      <c r="GO307" s="9">
        <f t="shared" si="58"/>
        <v>183</v>
      </c>
      <c r="GP307" s="9">
        <f t="shared" si="58"/>
        <v>184</v>
      </c>
      <c r="GQ307" s="9">
        <f t="shared" si="58"/>
        <v>185</v>
      </c>
      <c r="GR307" s="9">
        <f t="shared" si="58"/>
        <v>186</v>
      </c>
      <c r="GS307" s="9">
        <f t="shared" si="58"/>
        <v>187</v>
      </c>
      <c r="GT307" s="9">
        <f t="shared" si="58"/>
        <v>188</v>
      </c>
      <c r="GU307" s="9">
        <f t="shared" si="58"/>
        <v>189</v>
      </c>
      <c r="GV307" s="9">
        <f t="shared" si="58"/>
        <v>190</v>
      </c>
      <c r="GW307" s="9">
        <f t="shared" si="58"/>
        <v>191</v>
      </c>
      <c r="GX307" s="9">
        <f t="shared" si="58"/>
        <v>192</v>
      </c>
      <c r="GY307" s="9">
        <f t="shared" si="58"/>
        <v>193</v>
      </c>
      <c r="GZ307" s="9">
        <f t="shared" si="58"/>
        <v>194</v>
      </c>
      <c r="HA307" s="9">
        <f t="shared" ref="HA307:JL307" si="59">GZ307+1</f>
        <v>195</v>
      </c>
      <c r="HB307" s="9">
        <f t="shared" si="59"/>
        <v>196</v>
      </c>
      <c r="HC307" s="9">
        <f t="shared" si="59"/>
        <v>197</v>
      </c>
      <c r="HD307" s="9">
        <f t="shared" si="59"/>
        <v>198</v>
      </c>
      <c r="HE307" s="9">
        <f t="shared" si="59"/>
        <v>199</v>
      </c>
      <c r="HF307" s="9">
        <f t="shared" si="59"/>
        <v>200</v>
      </c>
      <c r="HG307" s="9">
        <f t="shared" si="59"/>
        <v>201</v>
      </c>
      <c r="HH307" s="9">
        <f t="shared" si="59"/>
        <v>202</v>
      </c>
      <c r="HI307" s="9">
        <f t="shared" si="59"/>
        <v>203</v>
      </c>
      <c r="HJ307" s="9">
        <f t="shared" si="59"/>
        <v>204</v>
      </c>
      <c r="HK307" s="9">
        <f t="shared" si="59"/>
        <v>205</v>
      </c>
      <c r="HL307" s="9">
        <f t="shared" si="59"/>
        <v>206</v>
      </c>
      <c r="HM307" s="9">
        <f t="shared" si="59"/>
        <v>207</v>
      </c>
      <c r="HN307" s="9">
        <f t="shared" si="59"/>
        <v>208</v>
      </c>
      <c r="HO307" s="9">
        <f t="shared" si="59"/>
        <v>209</v>
      </c>
      <c r="HP307" s="9">
        <f t="shared" si="59"/>
        <v>210</v>
      </c>
      <c r="HQ307" s="9">
        <f t="shared" si="59"/>
        <v>211</v>
      </c>
      <c r="HR307" s="9">
        <f t="shared" si="59"/>
        <v>212</v>
      </c>
      <c r="HS307" s="9">
        <f t="shared" si="59"/>
        <v>213</v>
      </c>
      <c r="HT307" s="9">
        <f t="shared" si="59"/>
        <v>214</v>
      </c>
      <c r="HU307" s="9">
        <f t="shared" si="59"/>
        <v>215</v>
      </c>
      <c r="HV307" s="9">
        <f t="shared" si="59"/>
        <v>216</v>
      </c>
      <c r="HW307" s="9">
        <f t="shared" si="59"/>
        <v>217</v>
      </c>
      <c r="HX307" s="9">
        <f t="shared" si="59"/>
        <v>218</v>
      </c>
      <c r="HY307" s="9">
        <f t="shared" si="59"/>
        <v>219</v>
      </c>
      <c r="HZ307" s="9">
        <f t="shared" si="59"/>
        <v>220</v>
      </c>
      <c r="IA307" s="9">
        <f t="shared" si="59"/>
        <v>221</v>
      </c>
      <c r="IB307" s="9">
        <f t="shared" si="59"/>
        <v>222</v>
      </c>
      <c r="IC307" s="9">
        <f t="shared" si="59"/>
        <v>223</v>
      </c>
      <c r="ID307" s="9">
        <f t="shared" si="59"/>
        <v>224</v>
      </c>
      <c r="IE307" s="9">
        <f t="shared" si="59"/>
        <v>225</v>
      </c>
      <c r="IF307" s="9">
        <f t="shared" si="59"/>
        <v>226</v>
      </c>
      <c r="IG307" s="9">
        <f t="shared" si="59"/>
        <v>227</v>
      </c>
      <c r="IH307" s="9">
        <f t="shared" si="59"/>
        <v>228</v>
      </c>
      <c r="II307" s="9">
        <f t="shared" si="59"/>
        <v>229</v>
      </c>
      <c r="IJ307" s="9">
        <f t="shared" si="59"/>
        <v>230</v>
      </c>
      <c r="IK307" s="9">
        <f t="shared" si="59"/>
        <v>231</v>
      </c>
      <c r="IL307" s="9">
        <f t="shared" si="59"/>
        <v>232</v>
      </c>
      <c r="IM307" s="9">
        <f t="shared" si="59"/>
        <v>233</v>
      </c>
      <c r="IN307" s="9">
        <f t="shared" si="59"/>
        <v>234</v>
      </c>
      <c r="IO307" s="9">
        <f t="shared" si="59"/>
        <v>235</v>
      </c>
      <c r="IP307" s="9">
        <f t="shared" si="59"/>
        <v>236</v>
      </c>
      <c r="IQ307" s="9">
        <f t="shared" si="59"/>
        <v>237</v>
      </c>
      <c r="IR307" s="9">
        <f t="shared" si="59"/>
        <v>238</v>
      </c>
      <c r="IS307" s="9">
        <f t="shared" si="59"/>
        <v>239</v>
      </c>
      <c r="IT307" s="9">
        <f t="shared" si="59"/>
        <v>240</v>
      </c>
      <c r="IU307" s="9">
        <f t="shared" si="59"/>
        <v>241</v>
      </c>
      <c r="IV307" s="9">
        <f t="shared" si="59"/>
        <v>242</v>
      </c>
      <c r="IW307" s="9">
        <f t="shared" si="59"/>
        <v>243</v>
      </c>
      <c r="IX307" s="9">
        <f t="shared" si="59"/>
        <v>244</v>
      </c>
      <c r="IY307" s="9">
        <f t="shared" si="59"/>
        <v>245</v>
      </c>
      <c r="IZ307" s="9">
        <f t="shared" si="59"/>
        <v>246</v>
      </c>
      <c r="JA307" s="9">
        <f t="shared" si="59"/>
        <v>247</v>
      </c>
      <c r="JB307" s="9">
        <f t="shared" si="59"/>
        <v>248</v>
      </c>
      <c r="JC307" s="9">
        <f t="shared" si="59"/>
        <v>249</v>
      </c>
      <c r="JD307" s="9">
        <f t="shared" si="59"/>
        <v>250</v>
      </c>
      <c r="JE307" s="9">
        <f t="shared" si="59"/>
        <v>251</v>
      </c>
      <c r="JF307" s="9">
        <f t="shared" si="59"/>
        <v>252</v>
      </c>
      <c r="JG307" s="9">
        <f t="shared" si="59"/>
        <v>253</v>
      </c>
      <c r="JH307" s="9">
        <f t="shared" si="59"/>
        <v>254</v>
      </c>
      <c r="JI307" s="9">
        <f t="shared" si="59"/>
        <v>255</v>
      </c>
      <c r="JJ307" s="9">
        <f t="shared" si="59"/>
        <v>256</v>
      </c>
      <c r="JK307" s="9">
        <f t="shared" si="59"/>
        <v>257</v>
      </c>
      <c r="JL307" s="9">
        <f t="shared" si="59"/>
        <v>258</v>
      </c>
      <c r="JM307" s="9">
        <f t="shared" ref="JM307:LX307" si="60">JL307+1</f>
        <v>259</v>
      </c>
      <c r="JN307" s="9">
        <f t="shared" si="60"/>
        <v>260</v>
      </c>
      <c r="JO307" s="9">
        <f t="shared" si="60"/>
        <v>261</v>
      </c>
      <c r="JP307" s="9">
        <f t="shared" si="60"/>
        <v>262</v>
      </c>
      <c r="JQ307" s="9">
        <f t="shared" si="60"/>
        <v>263</v>
      </c>
      <c r="JR307" s="9">
        <f t="shared" si="60"/>
        <v>264</v>
      </c>
      <c r="JS307" s="9">
        <f t="shared" si="60"/>
        <v>265</v>
      </c>
      <c r="JT307" s="9">
        <f t="shared" si="60"/>
        <v>266</v>
      </c>
      <c r="JU307" s="9">
        <f t="shared" si="60"/>
        <v>267</v>
      </c>
      <c r="JV307" s="9">
        <f t="shared" si="60"/>
        <v>268</v>
      </c>
      <c r="JW307" s="9">
        <f t="shared" si="60"/>
        <v>269</v>
      </c>
      <c r="JX307" s="9">
        <f t="shared" si="60"/>
        <v>270</v>
      </c>
      <c r="JY307" s="9">
        <f t="shared" si="60"/>
        <v>271</v>
      </c>
      <c r="JZ307" s="9">
        <f t="shared" si="60"/>
        <v>272</v>
      </c>
      <c r="KA307" s="9">
        <f t="shared" si="60"/>
        <v>273</v>
      </c>
      <c r="KB307" s="9">
        <f t="shared" si="60"/>
        <v>274</v>
      </c>
      <c r="KC307" s="9">
        <f t="shared" si="60"/>
        <v>275</v>
      </c>
      <c r="KD307" s="9">
        <f t="shared" si="60"/>
        <v>276</v>
      </c>
      <c r="KE307" s="9">
        <f t="shared" si="60"/>
        <v>277</v>
      </c>
      <c r="KF307" s="9">
        <f t="shared" si="60"/>
        <v>278</v>
      </c>
      <c r="KG307" s="9">
        <f t="shared" si="60"/>
        <v>279</v>
      </c>
      <c r="KH307" s="9">
        <f t="shared" si="60"/>
        <v>280</v>
      </c>
      <c r="KI307" s="9">
        <f t="shared" si="60"/>
        <v>281</v>
      </c>
      <c r="KJ307" s="9">
        <f t="shared" si="60"/>
        <v>282</v>
      </c>
      <c r="KK307" s="9">
        <f t="shared" si="60"/>
        <v>283</v>
      </c>
      <c r="KL307" s="9">
        <f t="shared" si="60"/>
        <v>284</v>
      </c>
      <c r="KM307" s="9">
        <f t="shared" si="60"/>
        <v>285</v>
      </c>
      <c r="KN307" s="9">
        <f t="shared" si="60"/>
        <v>286</v>
      </c>
      <c r="KO307" s="9">
        <f t="shared" si="60"/>
        <v>287</v>
      </c>
      <c r="KP307" s="9">
        <f t="shared" si="60"/>
        <v>288</v>
      </c>
      <c r="KQ307" s="9">
        <f t="shared" si="60"/>
        <v>289</v>
      </c>
      <c r="KR307" s="9">
        <f t="shared" si="60"/>
        <v>290</v>
      </c>
      <c r="KS307" s="9">
        <f t="shared" si="60"/>
        <v>291</v>
      </c>
      <c r="KT307" s="9">
        <f t="shared" si="60"/>
        <v>292</v>
      </c>
      <c r="KU307" s="9">
        <f t="shared" si="60"/>
        <v>293</v>
      </c>
      <c r="KV307" s="9">
        <f t="shared" si="60"/>
        <v>294</v>
      </c>
      <c r="KW307" s="9">
        <f t="shared" si="60"/>
        <v>295</v>
      </c>
      <c r="KX307" s="9">
        <f t="shared" si="60"/>
        <v>296</v>
      </c>
      <c r="KY307" s="9">
        <f t="shared" si="60"/>
        <v>297</v>
      </c>
      <c r="KZ307" s="9">
        <f t="shared" si="60"/>
        <v>298</v>
      </c>
      <c r="LA307" s="9">
        <f t="shared" si="60"/>
        <v>299</v>
      </c>
      <c r="LB307" s="9">
        <f t="shared" si="60"/>
        <v>300</v>
      </c>
      <c r="LC307" s="9">
        <f t="shared" si="60"/>
        <v>301</v>
      </c>
      <c r="LD307" s="9">
        <f t="shared" si="60"/>
        <v>302</v>
      </c>
      <c r="LE307" s="9">
        <f t="shared" si="60"/>
        <v>303</v>
      </c>
      <c r="LF307" s="9">
        <f t="shared" si="60"/>
        <v>304</v>
      </c>
      <c r="LG307" s="9">
        <f t="shared" si="60"/>
        <v>305</v>
      </c>
      <c r="LH307" s="9">
        <f t="shared" si="60"/>
        <v>306</v>
      </c>
      <c r="LI307" s="9">
        <f t="shared" si="60"/>
        <v>307</v>
      </c>
      <c r="LJ307" s="9">
        <f t="shared" si="60"/>
        <v>308</v>
      </c>
      <c r="LK307" s="9">
        <f t="shared" si="60"/>
        <v>309</v>
      </c>
      <c r="LL307" s="9">
        <f t="shared" si="60"/>
        <v>310</v>
      </c>
      <c r="LM307" s="9">
        <f t="shared" si="60"/>
        <v>311</v>
      </c>
      <c r="LN307" s="9">
        <f t="shared" si="60"/>
        <v>312</v>
      </c>
      <c r="LO307" s="9">
        <f t="shared" si="60"/>
        <v>313</v>
      </c>
      <c r="LP307" s="9">
        <f t="shared" si="60"/>
        <v>314</v>
      </c>
      <c r="LQ307" s="9">
        <f t="shared" si="60"/>
        <v>315</v>
      </c>
      <c r="LR307" s="9">
        <f t="shared" si="60"/>
        <v>316</v>
      </c>
      <c r="LS307" s="9">
        <f t="shared" si="60"/>
        <v>317</v>
      </c>
      <c r="LT307" s="9">
        <f t="shared" si="60"/>
        <v>318</v>
      </c>
      <c r="LU307" s="9">
        <f t="shared" si="60"/>
        <v>319</v>
      </c>
      <c r="LV307" s="9">
        <f t="shared" si="60"/>
        <v>320</v>
      </c>
      <c r="LW307" s="9">
        <f t="shared" si="60"/>
        <v>321</v>
      </c>
      <c r="LX307" s="9">
        <f t="shared" si="60"/>
        <v>322</v>
      </c>
      <c r="LY307" s="9">
        <f t="shared" ref="LY307:NB307" si="61">LX307+1</f>
        <v>323</v>
      </c>
      <c r="LZ307" s="9">
        <f t="shared" si="61"/>
        <v>324</v>
      </c>
      <c r="MA307" s="9">
        <f t="shared" si="61"/>
        <v>325</v>
      </c>
      <c r="MB307" s="9">
        <f t="shared" si="61"/>
        <v>326</v>
      </c>
      <c r="MC307" s="9">
        <f t="shared" si="61"/>
        <v>327</v>
      </c>
      <c r="MD307" s="9">
        <f t="shared" si="61"/>
        <v>328</v>
      </c>
      <c r="ME307" s="9">
        <f t="shared" si="61"/>
        <v>329</v>
      </c>
      <c r="MF307" s="9">
        <f t="shared" si="61"/>
        <v>330</v>
      </c>
      <c r="MG307" s="9">
        <f t="shared" si="61"/>
        <v>331</v>
      </c>
      <c r="MH307" s="9">
        <f t="shared" si="61"/>
        <v>332</v>
      </c>
      <c r="MI307" s="9">
        <f t="shared" si="61"/>
        <v>333</v>
      </c>
      <c r="MJ307" s="9">
        <f t="shared" si="61"/>
        <v>334</v>
      </c>
      <c r="MK307" s="9">
        <f t="shared" si="61"/>
        <v>335</v>
      </c>
      <c r="ML307" s="9">
        <f t="shared" si="61"/>
        <v>336</v>
      </c>
      <c r="MM307" s="9">
        <f t="shared" si="61"/>
        <v>337</v>
      </c>
      <c r="MN307" s="9">
        <f t="shared" si="61"/>
        <v>338</v>
      </c>
      <c r="MO307" s="9">
        <f t="shared" si="61"/>
        <v>339</v>
      </c>
      <c r="MP307" s="9">
        <f t="shared" si="61"/>
        <v>340</v>
      </c>
      <c r="MQ307" s="9">
        <f t="shared" si="61"/>
        <v>341</v>
      </c>
      <c r="MR307" s="9">
        <f t="shared" si="61"/>
        <v>342</v>
      </c>
      <c r="MS307" s="9">
        <f t="shared" si="61"/>
        <v>343</v>
      </c>
      <c r="MT307" s="9">
        <f t="shared" si="61"/>
        <v>344</v>
      </c>
      <c r="MU307" s="9">
        <f t="shared" si="61"/>
        <v>345</v>
      </c>
      <c r="MV307" s="9">
        <f t="shared" si="61"/>
        <v>346</v>
      </c>
      <c r="MW307" s="9">
        <f t="shared" si="61"/>
        <v>347</v>
      </c>
      <c r="MX307" s="9">
        <f t="shared" si="61"/>
        <v>348</v>
      </c>
      <c r="MY307" s="9">
        <f t="shared" si="61"/>
        <v>349</v>
      </c>
      <c r="MZ307" s="9">
        <f t="shared" si="61"/>
        <v>350</v>
      </c>
      <c r="NA307" s="9">
        <f t="shared" si="61"/>
        <v>351</v>
      </c>
      <c r="NB307" s="9">
        <f t="shared" si="61"/>
        <v>352</v>
      </c>
      <c r="NC307" s="9">
        <f>NB307+1</f>
        <v>353</v>
      </c>
      <c r="ND307" s="9">
        <f>NC307+1</f>
        <v>354</v>
      </c>
      <c r="NE307" s="9">
        <f t="shared" ref="NE307:NH307" si="62">ND307+1</f>
        <v>355</v>
      </c>
      <c r="NF307" s="9">
        <f t="shared" si="62"/>
        <v>356</v>
      </c>
      <c r="NG307" s="9">
        <f t="shared" si="62"/>
        <v>357</v>
      </c>
      <c r="NH307" s="9">
        <f t="shared" si="62"/>
        <v>358</v>
      </c>
      <c r="NI307" s="9">
        <f>NH307+1</f>
        <v>359</v>
      </c>
    </row>
    <row r="308" spans="1:373" x14ac:dyDescent="0.25">
      <c r="A308">
        <f>SIN(RADIANS(A307))*A306</f>
        <v>0</v>
      </c>
      <c r="B308">
        <f>SIN(RADIANS(B307))*B306</f>
        <v>0.49999999999999994</v>
      </c>
      <c r="C308">
        <f>SIN(RADIANS(C307))*C306</f>
        <v>0.8660254037844386</v>
      </c>
      <c r="D308">
        <f t="shared" ref="D308:I308" si="63">SIN(RADIANS(D307))*D306</f>
        <v>1</v>
      </c>
      <c r="E308">
        <f t="shared" si="63"/>
        <v>0.86602540378443871</v>
      </c>
      <c r="F308">
        <f t="shared" si="63"/>
        <v>0.49999999999999994</v>
      </c>
      <c r="G308">
        <f t="shared" si="63"/>
        <v>1.22514845490862E-16</v>
      </c>
      <c r="H308">
        <f t="shared" si="63"/>
        <v>-0.50000000000000011</v>
      </c>
      <c r="I308">
        <f t="shared" si="63"/>
        <v>-0.86602540378443837</v>
      </c>
      <c r="J308">
        <f>SIN(RADIANS(J307))*J306</f>
        <v>-1</v>
      </c>
      <c r="K308">
        <f t="shared" ref="K308" si="64">SIN(RADIANS(K307))*K306</f>
        <v>-0.8660254037844386</v>
      </c>
      <c r="L308">
        <f t="shared" ref="L308:M308" si="65">SIN(RADIANS(L307))*L306</f>
        <v>-0.50000000000000044</v>
      </c>
      <c r="M308">
        <f t="shared" si="65"/>
        <v>-2.45029690981724E-16</v>
      </c>
      <c r="N308">
        <f>SIN(RADIANS(N307))*N306</f>
        <v>0</v>
      </c>
      <c r="O308">
        <f>SIN(RADIANS(O307))*O306</f>
        <v>1.7452406437283512E-2</v>
      </c>
      <c r="P308">
        <f>SIN(RADIANS(P307))*P306</f>
        <v>3.4899496702500969E-2</v>
      </c>
      <c r="Q308">
        <f t="shared" ref="Q308:CB308" si="66">SIN(RADIANS(Q307))*Q306</f>
        <v>5.2335956242943835E-2</v>
      </c>
      <c r="R308">
        <f t="shared" si="66"/>
        <v>6.9756473744125302E-2</v>
      </c>
      <c r="S308">
        <f t="shared" si="66"/>
        <v>8.7155742747658166E-2</v>
      </c>
      <c r="T308">
        <f t="shared" si="66"/>
        <v>0.10452846326765347</v>
      </c>
      <c r="U308">
        <f t="shared" si="66"/>
        <v>0.12186934340514748</v>
      </c>
      <c r="V308">
        <f t="shared" si="66"/>
        <v>0.13917310096006544</v>
      </c>
      <c r="W308">
        <f t="shared" si="66"/>
        <v>0.15643446504023087</v>
      </c>
      <c r="X308">
        <f t="shared" si="66"/>
        <v>0.17364817766693033</v>
      </c>
      <c r="Y308">
        <f t="shared" si="66"/>
        <v>0.1908089953765448</v>
      </c>
      <c r="Z308">
        <f t="shared" si="66"/>
        <v>0.20791169081775934</v>
      </c>
      <c r="AA308">
        <f t="shared" si="66"/>
        <v>0.224951054343865</v>
      </c>
      <c r="AB308">
        <f t="shared" si="66"/>
        <v>0.24192189559966773</v>
      </c>
      <c r="AC308">
        <f t="shared" si="66"/>
        <v>0.25881904510252074</v>
      </c>
      <c r="AD308">
        <f t="shared" si="66"/>
        <v>0.27563735581699916</v>
      </c>
      <c r="AE308">
        <f t="shared" si="66"/>
        <v>0.29237170472273677</v>
      </c>
      <c r="AF308">
        <f t="shared" si="66"/>
        <v>0.3090169943749474</v>
      </c>
      <c r="AG308">
        <f t="shared" si="66"/>
        <v>0.3255681544571567</v>
      </c>
      <c r="AH308">
        <f t="shared" si="66"/>
        <v>0.34202014332566871</v>
      </c>
      <c r="AI308">
        <f t="shared" si="66"/>
        <v>0.35836794954530027</v>
      </c>
      <c r="AJ308">
        <f t="shared" si="66"/>
        <v>0.37460659341591201</v>
      </c>
      <c r="AK308">
        <f t="shared" si="66"/>
        <v>0.39073112848927377</v>
      </c>
      <c r="AL308">
        <f t="shared" si="66"/>
        <v>0.40673664307580021</v>
      </c>
      <c r="AM308">
        <f t="shared" si="66"/>
        <v>0.42261826174069944</v>
      </c>
      <c r="AN308">
        <f t="shared" si="66"/>
        <v>0.4383711467890774</v>
      </c>
      <c r="AO308">
        <f t="shared" si="66"/>
        <v>0.45399049973954675</v>
      </c>
      <c r="AP308">
        <f t="shared" si="66"/>
        <v>0.46947156278589081</v>
      </c>
      <c r="AQ308">
        <f t="shared" si="66"/>
        <v>0.48480962024633706</v>
      </c>
      <c r="AR308">
        <f t="shared" si="66"/>
        <v>0.49999999999999994</v>
      </c>
      <c r="AS308">
        <f t="shared" si="66"/>
        <v>0.51503807491005416</v>
      </c>
      <c r="AT308">
        <f t="shared" si="66"/>
        <v>0.5299192642332049</v>
      </c>
      <c r="AU308">
        <f t="shared" si="66"/>
        <v>0.54463903501502708</v>
      </c>
      <c r="AV308">
        <f t="shared" si="66"/>
        <v>0.5591929034707469</v>
      </c>
      <c r="AW308">
        <f t="shared" si="66"/>
        <v>0.57357643635104605</v>
      </c>
      <c r="AX308">
        <f t="shared" si="66"/>
        <v>0.58778525229247314</v>
      </c>
      <c r="AY308">
        <f t="shared" si="66"/>
        <v>0.60181502315204827</v>
      </c>
      <c r="AZ308">
        <f t="shared" si="66"/>
        <v>0.61566147532565829</v>
      </c>
      <c r="BA308">
        <f t="shared" si="66"/>
        <v>0.62932039104983739</v>
      </c>
      <c r="BB308">
        <f t="shared" si="66"/>
        <v>0.64278760968653925</v>
      </c>
      <c r="BC308">
        <f t="shared" si="66"/>
        <v>0.65605902899050728</v>
      </c>
      <c r="BD308">
        <f t="shared" si="66"/>
        <v>0.66913060635885824</v>
      </c>
      <c r="BE308">
        <f t="shared" si="66"/>
        <v>0.68199836006249848</v>
      </c>
      <c r="BF308">
        <f t="shared" si="66"/>
        <v>0.69465837045899725</v>
      </c>
      <c r="BG308">
        <f t="shared" si="66"/>
        <v>0.70710678118654746</v>
      </c>
      <c r="BH308">
        <f t="shared" si="66"/>
        <v>0.71933980033865108</v>
      </c>
      <c r="BI308">
        <f t="shared" si="66"/>
        <v>0.73135370161917046</v>
      </c>
      <c r="BJ308">
        <f t="shared" si="66"/>
        <v>0.74314482547739424</v>
      </c>
      <c r="BK308">
        <f t="shared" si="66"/>
        <v>0.75470958022277201</v>
      </c>
      <c r="BL308">
        <f t="shared" si="66"/>
        <v>0.76604444311897801</v>
      </c>
      <c r="BM308">
        <f t="shared" si="66"/>
        <v>0.7771459614569709</v>
      </c>
      <c r="BN308">
        <f t="shared" si="66"/>
        <v>0.78801075360672201</v>
      </c>
      <c r="BO308">
        <f t="shared" si="66"/>
        <v>0.79863551004729283</v>
      </c>
      <c r="BP308">
        <f t="shared" si="66"/>
        <v>0.80901699437494745</v>
      </c>
      <c r="BQ308">
        <f t="shared" si="66"/>
        <v>0.8191520442889918</v>
      </c>
      <c r="BR308">
        <f t="shared" si="66"/>
        <v>0.82903757255504174</v>
      </c>
      <c r="BS308">
        <f t="shared" si="66"/>
        <v>0.83867056794542405</v>
      </c>
      <c r="BT308">
        <f t="shared" si="66"/>
        <v>0.84804809615642596</v>
      </c>
      <c r="BU308">
        <f t="shared" si="66"/>
        <v>0.85716730070211233</v>
      </c>
      <c r="BV308">
        <f t="shared" si="66"/>
        <v>0.8660254037844386</v>
      </c>
      <c r="BW308">
        <f t="shared" si="66"/>
        <v>0.87461970713939574</v>
      </c>
      <c r="BX308">
        <f t="shared" si="66"/>
        <v>0.88294759285892688</v>
      </c>
      <c r="BY308">
        <f t="shared" si="66"/>
        <v>0.89100652418836779</v>
      </c>
      <c r="BZ308">
        <f t="shared" si="66"/>
        <v>0.89879404629916704</v>
      </c>
      <c r="CA308">
        <f t="shared" si="66"/>
        <v>0.90630778703664994</v>
      </c>
      <c r="CB308">
        <f t="shared" si="66"/>
        <v>0.91354545764260087</v>
      </c>
      <c r="CC308">
        <f t="shared" ref="CC308:EN308" si="67">SIN(RADIANS(CC307))*CC306</f>
        <v>0.92050485345244037</v>
      </c>
      <c r="CD308">
        <f t="shared" si="67"/>
        <v>0.92718385456678742</v>
      </c>
      <c r="CE308">
        <f t="shared" si="67"/>
        <v>0.93358042649720174</v>
      </c>
      <c r="CF308">
        <f t="shared" si="67"/>
        <v>0.93969262078590832</v>
      </c>
      <c r="CG308">
        <f t="shared" si="67"/>
        <v>0.94551857559931674</v>
      </c>
      <c r="CH308">
        <f t="shared" si="67"/>
        <v>0.95105651629515353</v>
      </c>
      <c r="CI308">
        <f t="shared" si="67"/>
        <v>0.95630475596303544</v>
      </c>
      <c r="CJ308">
        <f t="shared" si="67"/>
        <v>0.96126169593831889</v>
      </c>
      <c r="CK308">
        <f t="shared" si="67"/>
        <v>0.96592582628906831</v>
      </c>
      <c r="CL308">
        <f t="shared" si="67"/>
        <v>0.97029572627599647</v>
      </c>
      <c r="CM308">
        <f t="shared" si="67"/>
        <v>0.97437006478523525</v>
      </c>
      <c r="CN308">
        <f t="shared" si="67"/>
        <v>0.97814760073380558</v>
      </c>
      <c r="CO308">
        <f t="shared" si="67"/>
        <v>0.98162718344766398</v>
      </c>
      <c r="CP308">
        <f t="shared" si="67"/>
        <v>0.98480775301220802</v>
      </c>
      <c r="CQ308">
        <f t="shared" si="67"/>
        <v>0.98768834059513777</v>
      </c>
      <c r="CR308">
        <f t="shared" si="67"/>
        <v>0.99026806874157036</v>
      </c>
      <c r="CS308">
        <f t="shared" si="67"/>
        <v>0.99254615164132198</v>
      </c>
      <c r="CT308">
        <f t="shared" si="67"/>
        <v>0.99452189536827329</v>
      </c>
      <c r="CU308">
        <f t="shared" si="67"/>
        <v>0.99619469809174555</v>
      </c>
      <c r="CV308">
        <f t="shared" si="67"/>
        <v>0.9975640502598242</v>
      </c>
      <c r="CW308">
        <f t="shared" si="67"/>
        <v>0.99862953475457383</v>
      </c>
      <c r="CX308">
        <f t="shared" si="67"/>
        <v>0.99939082701909576</v>
      </c>
      <c r="CY308">
        <f t="shared" si="67"/>
        <v>0.99984769515639127</v>
      </c>
      <c r="CZ308">
        <f t="shared" si="67"/>
        <v>1</v>
      </c>
      <c r="DA308">
        <f t="shared" si="67"/>
        <v>0.99984769515639127</v>
      </c>
      <c r="DB308">
        <f t="shared" si="67"/>
        <v>0.99939082701909576</v>
      </c>
      <c r="DC308">
        <f t="shared" si="67"/>
        <v>0.99862953475457383</v>
      </c>
      <c r="DD308">
        <f t="shared" si="67"/>
        <v>0.9975640502598242</v>
      </c>
      <c r="DE308">
        <f t="shared" si="67"/>
        <v>0.99619469809174555</v>
      </c>
      <c r="DF308">
        <f t="shared" si="67"/>
        <v>0.99452189536827329</v>
      </c>
      <c r="DG308">
        <f t="shared" si="67"/>
        <v>0.99254615164132209</v>
      </c>
      <c r="DH308">
        <f t="shared" si="67"/>
        <v>0.99026806874157036</v>
      </c>
      <c r="DI308">
        <f t="shared" si="67"/>
        <v>0.98768834059513777</v>
      </c>
      <c r="DJ308">
        <f t="shared" si="67"/>
        <v>0.98480775301220802</v>
      </c>
      <c r="DK308">
        <f t="shared" si="67"/>
        <v>0.98162718344766398</v>
      </c>
      <c r="DL308">
        <f t="shared" si="67"/>
        <v>0.97814760073380569</v>
      </c>
      <c r="DM308">
        <f t="shared" si="67"/>
        <v>0.97437006478523525</v>
      </c>
      <c r="DN308">
        <f t="shared" si="67"/>
        <v>0.97029572627599647</v>
      </c>
      <c r="DO308">
        <f t="shared" si="67"/>
        <v>0.96592582628906831</v>
      </c>
      <c r="DP308">
        <f t="shared" si="67"/>
        <v>0.96126169593831889</v>
      </c>
      <c r="DQ308">
        <f t="shared" si="67"/>
        <v>0.95630475596303555</v>
      </c>
      <c r="DR308">
        <f t="shared" si="67"/>
        <v>0.95105651629515364</v>
      </c>
      <c r="DS308">
        <f t="shared" si="67"/>
        <v>0.94551857559931685</v>
      </c>
      <c r="DT308">
        <f t="shared" si="67"/>
        <v>0.93969262078590843</v>
      </c>
      <c r="DU308">
        <f t="shared" si="67"/>
        <v>0.93358042649720174</v>
      </c>
      <c r="DV308">
        <f t="shared" si="67"/>
        <v>0.92718385456678742</v>
      </c>
      <c r="DW308">
        <f t="shared" si="67"/>
        <v>0.92050485345244026</v>
      </c>
      <c r="DX308">
        <f t="shared" si="67"/>
        <v>0.91354545764260087</v>
      </c>
      <c r="DY308">
        <f t="shared" si="67"/>
        <v>0.90630778703665005</v>
      </c>
      <c r="DZ308">
        <f t="shared" si="67"/>
        <v>0.89879404629916693</v>
      </c>
      <c r="EA308">
        <f t="shared" si="67"/>
        <v>0.8910065241883679</v>
      </c>
      <c r="EB308">
        <f t="shared" si="67"/>
        <v>0.88294759285892688</v>
      </c>
      <c r="EC308">
        <f t="shared" si="67"/>
        <v>0.87461970713939585</v>
      </c>
      <c r="ED308">
        <f t="shared" si="67"/>
        <v>0.86602540378443871</v>
      </c>
      <c r="EE308">
        <f t="shared" si="67"/>
        <v>0.85716730070211233</v>
      </c>
      <c r="EF308">
        <f t="shared" si="67"/>
        <v>0.84804809615642607</v>
      </c>
      <c r="EG308">
        <f t="shared" si="67"/>
        <v>0.83867056794542394</v>
      </c>
      <c r="EH308">
        <f t="shared" si="67"/>
        <v>0.82903757255504174</v>
      </c>
      <c r="EI308">
        <f t="shared" si="67"/>
        <v>0.81915204428899169</v>
      </c>
      <c r="EJ308">
        <f t="shared" si="67"/>
        <v>0.80901699437494745</v>
      </c>
      <c r="EK308">
        <f t="shared" si="67"/>
        <v>0.79863551004729272</v>
      </c>
      <c r="EL308">
        <f t="shared" si="67"/>
        <v>0.78801075360672201</v>
      </c>
      <c r="EM308">
        <f t="shared" si="67"/>
        <v>0.77714596145697101</v>
      </c>
      <c r="EN308">
        <f t="shared" si="67"/>
        <v>0.76604444311897801</v>
      </c>
      <c r="EO308">
        <f t="shared" ref="EO308:GI308" si="68">SIN(RADIANS(EO307))*EO306</f>
        <v>0.75470958022277213</v>
      </c>
      <c r="EP308">
        <f t="shared" si="68"/>
        <v>0.74314482547739424</v>
      </c>
      <c r="EQ308">
        <f t="shared" si="68"/>
        <v>0.73135370161917057</v>
      </c>
      <c r="ER308">
        <f t="shared" si="68"/>
        <v>0.71933980033865108</v>
      </c>
      <c r="ES308">
        <f t="shared" si="68"/>
        <v>0.70710678118654757</v>
      </c>
      <c r="ET308">
        <f t="shared" si="68"/>
        <v>0.69465837045899714</v>
      </c>
      <c r="EU308">
        <f t="shared" si="68"/>
        <v>0.68199836006249859</v>
      </c>
      <c r="EV308">
        <f t="shared" si="68"/>
        <v>0.66913060635885835</v>
      </c>
      <c r="EW308">
        <f t="shared" si="68"/>
        <v>0.65605902899050728</v>
      </c>
      <c r="EX308">
        <f t="shared" si="68"/>
        <v>0.64278760968653947</v>
      </c>
      <c r="EY308">
        <f t="shared" si="68"/>
        <v>0.62932039104983739</v>
      </c>
      <c r="EZ308">
        <f t="shared" si="68"/>
        <v>0.6156614753256584</v>
      </c>
      <c r="FA308">
        <f t="shared" si="68"/>
        <v>0.60181502315204816</v>
      </c>
      <c r="FB308">
        <f t="shared" si="68"/>
        <v>0.58778525229247325</v>
      </c>
      <c r="FC308">
        <f t="shared" si="68"/>
        <v>0.57357643635104594</v>
      </c>
      <c r="FD308">
        <f t="shared" si="68"/>
        <v>0.5591929034707469</v>
      </c>
      <c r="FE308">
        <f t="shared" si="68"/>
        <v>0.54463903501502731</v>
      </c>
      <c r="FF308">
        <f t="shared" si="68"/>
        <v>0.5299192642332049</v>
      </c>
      <c r="FG308">
        <f t="shared" si="68"/>
        <v>0.51503807491005438</v>
      </c>
      <c r="FH308">
        <f t="shared" si="68"/>
        <v>0.49999999999999994</v>
      </c>
      <c r="FI308">
        <f t="shared" si="68"/>
        <v>0.48480962024633717</v>
      </c>
      <c r="FJ308">
        <f t="shared" si="68"/>
        <v>0.46947156278589069</v>
      </c>
      <c r="FK308">
        <f t="shared" si="68"/>
        <v>0.45399049973954686</v>
      </c>
      <c r="FL308">
        <f t="shared" si="68"/>
        <v>0.43837114678907729</v>
      </c>
      <c r="FM308">
        <f t="shared" si="68"/>
        <v>0.4226182617406995</v>
      </c>
      <c r="FN308">
        <f t="shared" si="68"/>
        <v>0.40673664307580043</v>
      </c>
      <c r="FO308">
        <f t="shared" si="68"/>
        <v>0.39073112848927377</v>
      </c>
      <c r="FP308">
        <f t="shared" si="68"/>
        <v>0.37460659341591224</v>
      </c>
      <c r="FQ308">
        <f t="shared" si="68"/>
        <v>0.35836794954530021</v>
      </c>
      <c r="FR308">
        <f t="shared" si="68"/>
        <v>0.34202014332566888</v>
      </c>
      <c r="FS308">
        <f t="shared" si="68"/>
        <v>0.32556815445715659</v>
      </c>
      <c r="FT308">
        <f t="shared" si="68"/>
        <v>0.30901699437494751</v>
      </c>
      <c r="FU308">
        <f t="shared" si="68"/>
        <v>0.2923717047227366</v>
      </c>
      <c r="FV308">
        <f t="shared" si="68"/>
        <v>0.27563735581699922</v>
      </c>
      <c r="FW308">
        <f t="shared" si="68"/>
        <v>0.25881904510252102</v>
      </c>
      <c r="FX308">
        <f t="shared" si="68"/>
        <v>0.24192189559966773</v>
      </c>
      <c r="FY308">
        <f t="shared" si="68"/>
        <v>0.2249510543438652</v>
      </c>
      <c r="FZ308">
        <f t="shared" si="68"/>
        <v>0.20791169081775931</v>
      </c>
      <c r="GA308">
        <f t="shared" si="68"/>
        <v>0.19080899537654497</v>
      </c>
      <c r="GB308">
        <f t="shared" si="68"/>
        <v>0.17364817766693028</v>
      </c>
      <c r="GC308">
        <f t="shared" si="68"/>
        <v>0.15643446504023098</v>
      </c>
      <c r="GD308">
        <f t="shared" si="68"/>
        <v>0.13917310096006533</v>
      </c>
      <c r="GE308">
        <f t="shared" si="68"/>
        <v>0.12186934340514755</v>
      </c>
      <c r="GF308">
        <f t="shared" si="68"/>
        <v>0.10452846326765373</v>
      </c>
      <c r="GG308">
        <f t="shared" si="68"/>
        <v>8.7155742747658194E-2</v>
      </c>
      <c r="GH308">
        <f t="shared" si="68"/>
        <v>6.9756473744125524E-2</v>
      </c>
      <c r="GI308">
        <f t="shared" si="68"/>
        <v>5.2335956242943807E-2</v>
      </c>
      <c r="GJ308">
        <f t="shared" ref="GJ308" si="69">SIN(RADIANS(GJ307))*GJ306</f>
        <v>3.4899496702501143E-2</v>
      </c>
      <c r="GK308">
        <f t="shared" ref="GK308" si="70">SIN(RADIANS(GK307))*GK306</f>
        <v>1.7452406437283439E-2</v>
      </c>
      <c r="GL308">
        <f t="shared" ref="GL308" si="71">SIN(RADIANS(GL307))*GL306</f>
        <v>1.22514845490862E-16</v>
      </c>
      <c r="GM308">
        <f t="shared" ref="GM308" si="72">SIN(RADIANS(GM307))*GM306</f>
        <v>-1.7452406437283637E-2</v>
      </c>
      <c r="GN308">
        <f t="shared" ref="GN308" si="73">SIN(RADIANS(GN307))*GN306</f>
        <v>-3.48994967025009E-2</v>
      </c>
      <c r="GO308">
        <f t="shared" ref="GO308" si="74">SIN(RADIANS(GO307))*GO306</f>
        <v>-5.2335956242943557E-2</v>
      </c>
      <c r="GP308">
        <f t="shared" ref="GP308" si="75">SIN(RADIANS(GP307))*GP306</f>
        <v>-6.9756473744125275E-2</v>
      </c>
      <c r="GQ308">
        <f t="shared" ref="GQ308" si="76">SIN(RADIANS(GQ307))*GQ306</f>
        <v>-8.7155742747657944E-2</v>
      </c>
      <c r="GR308">
        <f t="shared" ref="GR308" si="77">SIN(RADIANS(GR307))*GR306</f>
        <v>-0.1045284632676535</v>
      </c>
      <c r="GS308">
        <f t="shared" ref="GS308" si="78">SIN(RADIANS(GS307))*GS306</f>
        <v>-0.12186934340514731</v>
      </c>
      <c r="GT308">
        <f t="shared" ref="GT308" si="79">SIN(RADIANS(GT307))*GT306</f>
        <v>-0.13917310096006552</v>
      </c>
      <c r="GU308">
        <f t="shared" ref="GU308" si="80">SIN(RADIANS(GU307))*GU306</f>
        <v>-0.15643446504023073</v>
      </c>
      <c r="GV308">
        <f t="shared" ref="GV308" si="81">SIN(RADIANS(GV307))*GV306</f>
        <v>-0.17364817766693047</v>
      </c>
      <c r="GW308">
        <f t="shared" ref="GW308" si="82">SIN(RADIANS(GW307))*GW306</f>
        <v>-0.19080899537654472</v>
      </c>
      <c r="GX308">
        <f t="shared" ref="GX308" si="83">SIN(RADIANS(GX307))*GX306</f>
        <v>-0.20791169081775951</v>
      </c>
      <c r="GY308">
        <f t="shared" ref="GY308" si="84">SIN(RADIANS(GY307))*GY306</f>
        <v>-0.22495105434386498</v>
      </c>
      <c r="GZ308">
        <f t="shared" ref="GZ308" si="85">SIN(RADIANS(GZ307))*GZ306</f>
        <v>-0.24192189559966751</v>
      </c>
      <c r="HA308">
        <f t="shared" ref="HA308" si="86">SIN(RADIANS(HA307))*HA306</f>
        <v>-0.25881904510252079</v>
      </c>
      <c r="HB308">
        <f t="shared" ref="HB308" si="87">SIN(RADIANS(HB307))*HB306</f>
        <v>-0.275637355816999</v>
      </c>
      <c r="HC308">
        <f t="shared" ref="HC308" si="88">SIN(RADIANS(HC307))*HC306</f>
        <v>-0.29237170472273677</v>
      </c>
      <c r="HD308">
        <f t="shared" ref="HD308" si="89">SIN(RADIANS(HD307))*HD306</f>
        <v>-0.30901699437494728</v>
      </c>
      <c r="HE308">
        <f t="shared" ref="HE308" si="90">SIN(RADIANS(HE307))*HE306</f>
        <v>-0.32556815445715676</v>
      </c>
      <c r="HF308">
        <f t="shared" ref="HF308" si="91">SIN(RADIANS(HF307))*HF306</f>
        <v>-0.34202014332566866</v>
      </c>
      <c r="HG308">
        <f t="shared" ref="HG308" si="92">SIN(RADIANS(HG307))*HG306</f>
        <v>-0.35836794954530043</v>
      </c>
      <c r="HH308">
        <f t="shared" ref="HH308" si="93">SIN(RADIANS(HH307))*HH306</f>
        <v>-0.37460659341591201</v>
      </c>
      <c r="HI308">
        <f t="shared" ref="HI308" si="94">SIN(RADIANS(HI307))*HI306</f>
        <v>-0.39073112848927355</v>
      </c>
      <c r="HJ308">
        <f t="shared" ref="HJ308" si="95">SIN(RADIANS(HJ307))*HJ306</f>
        <v>-0.40673664307580021</v>
      </c>
      <c r="HK308">
        <f t="shared" ref="HK308" si="96">SIN(RADIANS(HK307))*HK306</f>
        <v>-0.42261826174069927</v>
      </c>
      <c r="HL308">
        <f t="shared" ref="HL308" si="97">SIN(RADIANS(HL307))*HL306</f>
        <v>-0.43837114678907746</v>
      </c>
      <c r="HM308">
        <f t="shared" ref="HM308" si="98">SIN(RADIANS(HM307))*HM306</f>
        <v>-0.45399049973954669</v>
      </c>
      <c r="HN308">
        <f t="shared" ref="HN308" si="99">SIN(RADIANS(HN307))*HN306</f>
        <v>-0.46947156278589086</v>
      </c>
      <c r="HO308">
        <f t="shared" ref="HO308" si="100">SIN(RADIANS(HO307))*HO306</f>
        <v>-0.48480962024633695</v>
      </c>
      <c r="HP308">
        <f t="shared" ref="HP308" si="101">SIN(RADIANS(HP307))*HP306</f>
        <v>-0.50000000000000011</v>
      </c>
      <c r="HQ308">
        <f t="shared" ref="HQ308" si="102">SIN(RADIANS(HQ307))*HQ306</f>
        <v>-0.51503807491005416</v>
      </c>
      <c r="HR308">
        <f t="shared" ref="HR308" si="103">SIN(RADIANS(HR307))*HR306</f>
        <v>-0.52991926423320479</v>
      </c>
      <c r="HS308">
        <f t="shared" ref="HS308" si="104">SIN(RADIANS(HS307))*HS306</f>
        <v>-0.54463903501502708</v>
      </c>
      <c r="HT308">
        <f t="shared" ref="HT308" si="105">SIN(RADIANS(HT307))*HT306</f>
        <v>-0.55919290347074668</v>
      </c>
      <c r="HU308">
        <f t="shared" ref="HU308" si="106">SIN(RADIANS(HU307))*HU306</f>
        <v>-0.57357643635104616</v>
      </c>
      <c r="HV308">
        <f t="shared" ref="HV308" si="107">SIN(RADIANS(HV307))*HV306</f>
        <v>-0.58778525229247303</v>
      </c>
      <c r="HW308">
        <f t="shared" ref="HW308" si="108">SIN(RADIANS(HW307))*HW306</f>
        <v>-0.60181502315204838</v>
      </c>
      <c r="HX308">
        <f t="shared" ref="HX308" si="109">SIN(RADIANS(HX307))*HX306</f>
        <v>-0.61566147532565818</v>
      </c>
      <c r="HY308">
        <f t="shared" ref="HY308" si="110">SIN(RADIANS(HY307))*HY306</f>
        <v>-0.62932039104983761</v>
      </c>
      <c r="HZ308">
        <f t="shared" ref="HZ308" si="111">SIN(RADIANS(HZ307))*HZ306</f>
        <v>-0.64278760968653925</v>
      </c>
      <c r="IA308">
        <f t="shared" ref="IA308" si="112">SIN(RADIANS(IA307))*IA306</f>
        <v>-0.65605902899050705</v>
      </c>
      <c r="IB308">
        <f t="shared" ref="IB308" si="113">SIN(RADIANS(IB307))*IB306</f>
        <v>-0.66913060635885824</v>
      </c>
      <c r="IC308">
        <f t="shared" ref="IC308" si="114">SIN(RADIANS(IC307))*IC306</f>
        <v>-0.68199836006249837</v>
      </c>
      <c r="ID308">
        <f t="shared" ref="ID308" si="115">SIN(RADIANS(ID307))*ID306</f>
        <v>-0.69465837045899737</v>
      </c>
      <c r="IE308">
        <f t="shared" ref="IE308" si="116">SIN(RADIANS(IE307))*IE306</f>
        <v>-0.70710678118654746</v>
      </c>
      <c r="IF308">
        <f t="shared" ref="IF308" si="117">SIN(RADIANS(IF307))*IF306</f>
        <v>-0.71933980033865119</v>
      </c>
      <c r="IG308">
        <f t="shared" ref="IG308" si="118">SIN(RADIANS(IG307))*IG306</f>
        <v>-0.73135370161917046</v>
      </c>
      <c r="IH308">
        <f t="shared" ref="IH308" si="119">SIN(RADIANS(IH307))*IH306</f>
        <v>-0.74314482547739436</v>
      </c>
      <c r="II308">
        <f t="shared" ref="II308" si="120">SIN(RADIANS(II307))*II306</f>
        <v>-0.75470958022277201</v>
      </c>
      <c r="IJ308">
        <f t="shared" ref="IJ308" si="121">SIN(RADIANS(IJ307))*IJ306</f>
        <v>-0.7660444431189779</v>
      </c>
      <c r="IK308">
        <f t="shared" ref="IK308" si="122">SIN(RADIANS(IK307))*IK306</f>
        <v>-0.77714596145697057</v>
      </c>
      <c r="IL308">
        <f t="shared" ref="IL308" si="123">SIN(RADIANS(IL307))*IL306</f>
        <v>-0.78801075360672213</v>
      </c>
      <c r="IM308">
        <f t="shared" ref="IM308" si="124">SIN(RADIANS(IM307))*IM306</f>
        <v>-0.79863551004729283</v>
      </c>
      <c r="IN308">
        <f t="shared" ref="IN308" si="125">SIN(RADIANS(IN307))*IN306</f>
        <v>-0.80901699437494734</v>
      </c>
      <c r="IO308">
        <f t="shared" ref="IO308" si="126">SIN(RADIANS(IO307))*IO306</f>
        <v>-0.81915204428899158</v>
      </c>
      <c r="IP308">
        <f t="shared" ref="IP308" si="127">SIN(RADIANS(IP307))*IP306</f>
        <v>-0.82903757255504185</v>
      </c>
      <c r="IQ308">
        <f t="shared" ref="IQ308" si="128">SIN(RADIANS(IQ307))*IQ306</f>
        <v>-0.83867056794542405</v>
      </c>
      <c r="IR308">
        <f t="shared" ref="IR308" si="129">SIN(RADIANS(IR307))*IR306</f>
        <v>-0.84804809615642596</v>
      </c>
      <c r="IS308">
        <f t="shared" ref="IS308" si="130">SIN(RADIANS(IS307))*IS306</f>
        <v>-0.85716730070211211</v>
      </c>
      <c r="IT308">
        <f t="shared" ref="IT308" si="131">SIN(RADIANS(IT307))*IT306</f>
        <v>-0.86602540378443837</v>
      </c>
      <c r="IU308">
        <f t="shared" ref="IU308" si="132">SIN(RADIANS(IU307))*IU306</f>
        <v>-0.87461970713939596</v>
      </c>
      <c r="IV308">
        <f t="shared" ref="IV308" si="133">SIN(RADIANS(IV307))*IV306</f>
        <v>-0.88294759285892699</v>
      </c>
      <c r="IW308">
        <f t="shared" ref="IW308" si="134">SIN(RADIANS(IW307))*IW306</f>
        <v>-0.89100652418836779</v>
      </c>
      <c r="IX308">
        <f t="shared" ref="IX308" si="135">SIN(RADIANS(IX307))*IX306</f>
        <v>-0.89879404629916682</v>
      </c>
      <c r="IY308">
        <f t="shared" ref="IY308" si="136">SIN(RADIANS(IY307))*IY306</f>
        <v>-0.90630778703665005</v>
      </c>
      <c r="IZ308">
        <f t="shared" ref="IZ308" si="137">SIN(RADIANS(IZ307))*IZ306</f>
        <v>-0.91354545764260098</v>
      </c>
      <c r="JA308">
        <f t="shared" ref="JA308" si="138">SIN(RADIANS(JA307))*JA306</f>
        <v>-0.92050485345244026</v>
      </c>
      <c r="JB308">
        <f t="shared" ref="JB308" si="139">SIN(RADIANS(JB307))*JB306</f>
        <v>-0.92718385456678731</v>
      </c>
      <c r="JC308">
        <f t="shared" ref="JC308" si="140">SIN(RADIANS(JC307))*JC306</f>
        <v>-0.93358042649720163</v>
      </c>
      <c r="JD308">
        <f t="shared" ref="JD308" si="141">SIN(RADIANS(JD307))*JD306</f>
        <v>-0.93969262078590843</v>
      </c>
      <c r="JE308">
        <f t="shared" ref="JE308" si="142">SIN(RADIANS(JE307))*JE306</f>
        <v>-0.94551857559931685</v>
      </c>
      <c r="JF308">
        <f t="shared" ref="JF308" si="143">SIN(RADIANS(JF307))*JF306</f>
        <v>-0.95105651629515353</v>
      </c>
      <c r="JG308">
        <f t="shared" ref="JG308" si="144">SIN(RADIANS(JG307))*JG306</f>
        <v>-0.95630475596303532</v>
      </c>
      <c r="JH308">
        <f t="shared" ref="JH308" si="145">SIN(RADIANS(JH307))*JH306</f>
        <v>-0.96126169593831901</v>
      </c>
      <c r="JI308">
        <f t="shared" ref="JI308" si="146">SIN(RADIANS(JI307))*JI306</f>
        <v>-0.96592582628906831</v>
      </c>
      <c r="JJ308">
        <f t="shared" ref="JJ308" si="147">SIN(RADIANS(JJ307))*JJ306</f>
        <v>-0.97029572627599647</v>
      </c>
      <c r="JK308">
        <f t="shared" ref="JK308" si="148">SIN(RADIANS(JK307))*JK306</f>
        <v>-0.97437006478523513</v>
      </c>
      <c r="JL308">
        <f t="shared" ref="JL308" si="149">SIN(RADIANS(JL307))*JL306</f>
        <v>-0.97814760073380558</v>
      </c>
      <c r="JM308">
        <f t="shared" ref="JM308" si="150">SIN(RADIANS(JM307))*JM306</f>
        <v>-0.98162718344766398</v>
      </c>
      <c r="JN308">
        <f t="shared" ref="JN308" si="151">SIN(RADIANS(JN307))*JN306</f>
        <v>-0.98480775301220802</v>
      </c>
      <c r="JO308">
        <f t="shared" ref="JO308" si="152">SIN(RADIANS(JO307))*JO306</f>
        <v>-0.98768834059513766</v>
      </c>
      <c r="JP308">
        <f t="shared" ref="JP308" si="153">SIN(RADIANS(JP307))*JP306</f>
        <v>-0.99026806874157025</v>
      </c>
      <c r="JQ308">
        <f t="shared" ref="JQ308" si="154">SIN(RADIANS(JQ307))*JQ306</f>
        <v>-0.99254615164132209</v>
      </c>
      <c r="JR308">
        <f t="shared" ref="JR308" si="155">SIN(RADIANS(JR307))*JR306</f>
        <v>-0.9945218953682734</v>
      </c>
      <c r="JS308">
        <f t="shared" ref="JS308" si="156">SIN(RADIANS(JS307))*JS306</f>
        <v>-0.99619469809174555</v>
      </c>
      <c r="JT308">
        <f t="shared" ref="JT308" si="157">SIN(RADIANS(JT307))*JT306</f>
        <v>-0.9975640502598242</v>
      </c>
      <c r="JU308">
        <f t="shared" ref="JU308" si="158">SIN(RADIANS(JU307))*JU306</f>
        <v>-0.99862953475457383</v>
      </c>
      <c r="JV308">
        <f t="shared" ref="JV308" si="159">SIN(RADIANS(JV307))*JV306</f>
        <v>-0.99939082701909576</v>
      </c>
      <c r="JW308">
        <f t="shared" ref="JW308" si="160">SIN(RADIANS(JW307))*JW306</f>
        <v>-0.99984769515639127</v>
      </c>
      <c r="JX308">
        <f t="shared" ref="JX308" si="161">SIN(RADIANS(JX307))*JX306</f>
        <v>-1</v>
      </c>
      <c r="JY308">
        <f t="shared" ref="JY308" si="162">SIN(RADIANS(JY307))*JY306</f>
        <v>-0.99984769515639127</v>
      </c>
      <c r="JZ308">
        <f t="shared" ref="JZ308" si="163">SIN(RADIANS(JZ307))*JZ306</f>
        <v>-0.99939082701909576</v>
      </c>
      <c r="KA308">
        <f t="shared" ref="KA308" si="164">SIN(RADIANS(KA307))*KA306</f>
        <v>-0.99862953475457383</v>
      </c>
      <c r="KB308">
        <f t="shared" ref="KB308" si="165">SIN(RADIANS(KB307))*KB306</f>
        <v>-0.99756405025982431</v>
      </c>
      <c r="KC308">
        <f t="shared" ref="KC308" si="166">SIN(RADIANS(KC307))*KC306</f>
        <v>-0.99619469809174555</v>
      </c>
      <c r="KD308">
        <f t="shared" ref="KD308" si="167">SIN(RADIANS(KD307))*KD306</f>
        <v>-0.9945218953682734</v>
      </c>
      <c r="KE308">
        <f t="shared" ref="KE308" si="168">SIN(RADIANS(KE307))*KE306</f>
        <v>-0.99254615164132198</v>
      </c>
      <c r="KF308">
        <f t="shared" ref="KF308" si="169">SIN(RADIANS(KF307))*KF306</f>
        <v>-0.99026806874157036</v>
      </c>
      <c r="KG308">
        <f t="shared" ref="KG308" si="170">SIN(RADIANS(KG307))*KG306</f>
        <v>-0.98768834059513777</v>
      </c>
      <c r="KH308">
        <f t="shared" ref="KH308" si="171">SIN(RADIANS(KH307))*KH306</f>
        <v>-0.98480775301220813</v>
      </c>
      <c r="KI308">
        <f t="shared" ref="KI308" si="172">SIN(RADIANS(KI307))*KI306</f>
        <v>-0.98162718344766386</v>
      </c>
      <c r="KJ308">
        <f t="shared" ref="KJ308" si="173">SIN(RADIANS(KJ307))*KJ306</f>
        <v>-0.97814760073380558</v>
      </c>
      <c r="KK308">
        <f t="shared" ref="KK308" si="174">SIN(RADIANS(KK307))*KK306</f>
        <v>-0.97437006478523525</v>
      </c>
      <c r="KL308">
        <f t="shared" ref="KL308" si="175">SIN(RADIANS(KL307))*KL306</f>
        <v>-0.97029572627599658</v>
      </c>
      <c r="KM308">
        <f t="shared" ref="KM308" si="176">SIN(RADIANS(KM307))*KM306</f>
        <v>-0.96592582628906842</v>
      </c>
      <c r="KN308">
        <f t="shared" ref="KN308" si="177">SIN(RADIANS(KN307))*KN306</f>
        <v>-0.96126169593831878</v>
      </c>
      <c r="KO308">
        <f t="shared" ref="KO308" si="178">SIN(RADIANS(KO307))*KO306</f>
        <v>-0.95630475596303544</v>
      </c>
      <c r="KP308">
        <f t="shared" ref="KP308" si="179">SIN(RADIANS(KP307))*KP306</f>
        <v>-0.95105651629515364</v>
      </c>
      <c r="KQ308">
        <f t="shared" ref="KQ308" si="180">SIN(RADIANS(KQ307))*KQ306</f>
        <v>-0.94551857559931696</v>
      </c>
      <c r="KR308">
        <f t="shared" ref="KR308" si="181">SIN(RADIANS(KR307))*KR306</f>
        <v>-0.93969262078590832</v>
      </c>
      <c r="KS308">
        <f t="shared" ref="KS308" si="182">SIN(RADIANS(KS307))*KS306</f>
        <v>-0.93358042649720174</v>
      </c>
      <c r="KT308">
        <f t="shared" ref="KT308" si="183">SIN(RADIANS(KT307))*KT306</f>
        <v>-0.92718385456678742</v>
      </c>
      <c r="KU308">
        <f t="shared" ref="KU308" si="184">SIN(RADIANS(KU307))*KU306</f>
        <v>-0.92050485345244049</v>
      </c>
      <c r="KV308">
        <f t="shared" ref="KV308" si="185">SIN(RADIANS(KV307))*KV306</f>
        <v>-0.91354545764260109</v>
      </c>
      <c r="KW308">
        <f t="shared" ref="KW308" si="186">SIN(RADIANS(KW307))*KW306</f>
        <v>-0.90630778703664994</v>
      </c>
      <c r="KX308">
        <f t="shared" ref="KX308" si="187">SIN(RADIANS(KX307))*KX306</f>
        <v>-0.89879404629916704</v>
      </c>
      <c r="KY308">
        <f t="shared" ref="KY308" si="188">SIN(RADIANS(KY307))*KY306</f>
        <v>-0.8910065241883679</v>
      </c>
      <c r="KZ308">
        <f t="shared" ref="KZ308" si="189">SIN(RADIANS(KZ307))*KZ306</f>
        <v>-0.8829475928589271</v>
      </c>
      <c r="LA308">
        <f t="shared" ref="LA308" si="190">SIN(RADIANS(LA307))*LA306</f>
        <v>-0.87461970713939563</v>
      </c>
      <c r="LB308">
        <f t="shared" ref="LB308" si="191">SIN(RADIANS(LB307))*LB306</f>
        <v>-0.8660254037844386</v>
      </c>
      <c r="LC308">
        <f t="shared" ref="LC308" si="192">SIN(RADIANS(LC307))*LC306</f>
        <v>-0.85716730070211233</v>
      </c>
      <c r="LD308">
        <f t="shared" ref="LD308" si="193">SIN(RADIANS(LD307))*LD306</f>
        <v>-0.84804809615642618</v>
      </c>
      <c r="LE308">
        <f t="shared" ref="LE308" si="194">SIN(RADIANS(LE307))*LE306</f>
        <v>-0.83867056794542427</v>
      </c>
      <c r="LF308">
        <f t="shared" ref="LF308" si="195">SIN(RADIANS(LF307))*LF306</f>
        <v>-0.82903757255504162</v>
      </c>
      <c r="LG308">
        <f t="shared" ref="LG308" si="196">SIN(RADIANS(LG307))*LG306</f>
        <v>-0.8191520442889918</v>
      </c>
      <c r="LH308">
        <f t="shared" ref="LH308" si="197">SIN(RADIANS(LH307))*LH306</f>
        <v>-0.80901699437494756</v>
      </c>
      <c r="LI308">
        <f t="shared" ref="LI308" si="198">SIN(RADIANS(LI307))*LI306</f>
        <v>-0.79863551004729305</v>
      </c>
      <c r="LJ308">
        <f t="shared" ref="LJ308" si="199">SIN(RADIANS(LJ307))*LJ306</f>
        <v>-0.78801075360672179</v>
      </c>
      <c r="LK308">
        <f t="shared" ref="LK308" si="200">SIN(RADIANS(LK307))*LK306</f>
        <v>-0.77714596145697079</v>
      </c>
      <c r="LL308">
        <f t="shared" ref="LL308" si="201">SIN(RADIANS(LL307))*LL306</f>
        <v>-0.76604444311897812</v>
      </c>
      <c r="LM308">
        <f t="shared" ref="LM308" si="202">SIN(RADIANS(LM307))*LM306</f>
        <v>-0.75470958022277224</v>
      </c>
      <c r="LN308">
        <f t="shared" ref="LN308" si="203">SIN(RADIANS(LN307))*LN306</f>
        <v>-0.74314482547739458</v>
      </c>
      <c r="LO308">
        <f t="shared" ref="LO308" si="204">SIN(RADIANS(LO307))*LO306</f>
        <v>-0.73135370161917035</v>
      </c>
      <c r="LP308">
        <f t="shared" ref="LP308" si="205">SIN(RADIANS(LP307))*LP306</f>
        <v>-0.71933980033865119</v>
      </c>
      <c r="LQ308">
        <f t="shared" ref="LQ308" si="206">SIN(RADIANS(LQ307))*LQ306</f>
        <v>-0.70710678118654768</v>
      </c>
      <c r="LR308">
        <f t="shared" ref="LR308" si="207">SIN(RADIANS(LR307))*LR306</f>
        <v>-0.69465837045899759</v>
      </c>
      <c r="LS308">
        <f t="shared" ref="LS308" si="208">SIN(RADIANS(LS307))*LS306</f>
        <v>-0.68199836006249825</v>
      </c>
      <c r="LT308">
        <f t="shared" ref="LT308" si="209">SIN(RADIANS(LT307))*LT306</f>
        <v>-0.66913060635885813</v>
      </c>
      <c r="LU308">
        <f t="shared" ref="LU308" si="210">SIN(RADIANS(LU307))*LU306</f>
        <v>-0.65605902899050739</v>
      </c>
      <c r="LV308">
        <f t="shared" ref="LV308" si="211">SIN(RADIANS(LV307))*LV306</f>
        <v>-0.64278760968653958</v>
      </c>
      <c r="LW308">
        <f t="shared" ref="LW308" si="212">SIN(RADIANS(LW307))*LW306</f>
        <v>-0.62932039104983784</v>
      </c>
      <c r="LX308">
        <f t="shared" ref="LX308" si="213">SIN(RADIANS(LX307))*LX306</f>
        <v>-0.61566147532565818</v>
      </c>
      <c r="LY308">
        <f t="shared" ref="LY308" si="214">SIN(RADIANS(LY307))*LY306</f>
        <v>-0.60181502315204827</v>
      </c>
      <c r="LZ308">
        <f t="shared" ref="LZ308" si="215">SIN(RADIANS(LZ307))*LZ306</f>
        <v>-0.58778525229247336</v>
      </c>
      <c r="MA308">
        <f t="shared" ref="MA308" si="216">SIN(RADIANS(MA307))*MA306</f>
        <v>-0.57357643635104649</v>
      </c>
      <c r="MB308">
        <f t="shared" ref="MB308" si="217">SIN(RADIANS(MB307))*MB306</f>
        <v>-0.55919290347074657</v>
      </c>
      <c r="MC308">
        <f t="shared" ref="MC308" si="218">SIN(RADIANS(MC307))*MC306</f>
        <v>-0.54463903501502697</v>
      </c>
      <c r="MD308">
        <f t="shared" ref="MD308" si="219">SIN(RADIANS(MD307))*MD306</f>
        <v>-0.52991926423320501</v>
      </c>
      <c r="ME308">
        <f t="shared" ref="ME308" si="220">SIN(RADIANS(ME307))*ME306</f>
        <v>-0.51503807491005449</v>
      </c>
      <c r="MF308">
        <f t="shared" ref="MF308" si="221">SIN(RADIANS(MF307))*MF306</f>
        <v>-0.50000000000000044</v>
      </c>
      <c r="MG308">
        <f t="shared" ref="MG308" si="222">SIN(RADIANS(MG307))*MG306</f>
        <v>-0.48480962024633689</v>
      </c>
      <c r="MH308">
        <f t="shared" ref="MH308" si="223">SIN(RADIANS(MH307))*MH306</f>
        <v>-0.46947156278589081</v>
      </c>
      <c r="MI308">
        <f t="shared" ref="MI308" si="224">SIN(RADIANS(MI307))*MI306</f>
        <v>-0.45399049973954697</v>
      </c>
      <c r="MJ308">
        <f t="shared" ref="MJ308" si="225">SIN(RADIANS(MJ307))*MJ306</f>
        <v>-0.43837114678907779</v>
      </c>
      <c r="MK308">
        <f t="shared" ref="MK308" si="226">SIN(RADIANS(MK307))*MK306</f>
        <v>-0.42261826174069922</v>
      </c>
      <c r="ML308">
        <f t="shared" ref="ML308" si="227">SIN(RADIANS(ML307))*ML306</f>
        <v>-0.40673664307580015</v>
      </c>
      <c r="MM308">
        <f t="shared" ref="MM308" si="228">SIN(RADIANS(MM307))*MM306</f>
        <v>-0.39073112848927388</v>
      </c>
      <c r="MN308">
        <f t="shared" ref="MN308" si="229">SIN(RADIANS(MN307))*MN306</f>
        <v>-0.37460659341591235</v>
      </c>
      <c r="MO308">
        <f t="shared" ref="MO308" si="230">SIN(RADIANS(MO307))*MO306</f>
        <v>-0.35836794954530077</v>
      </c>
      <c r="MP308">
        <f t="shared" ref="MP308" si="231">SIN(RADIANS(MP307))*MP306</f>
        <v>-0.3420201433256686</v>
      </c>
      <c r="MQ308">
        <f t="shared" ref="MQ308" si="232">SIN(RADIANS(MQ307))*MQ306</f>
        <v>-0.3255681544571567</v>
      </c>
      <c r="MR308">
        <f t="shared" ref="MR308" si="233">SIN(RADIANS(MR307))*MR306</f>
        <v>-0.30901699437494762</v>
      </c>
      <c r="MS308">
        <f t="shared" ref="MS308" si="234">SIN(RADIANS(MS307))*MS306</f>
        <v>-0.29237170472273716</v>
      </c>
      <c r="MT308">
        <f t="shared" ref="MT308" si="235">SIN(RADIANS(MT307))*MT306</f>
        <v>-0.27563735581699894</v>
      </c>
      <c r="MU308">
        <f t="shared" ref="MU308" si="236">SIN(RADIANS(MU307))*MU306</f>
        <v>-0.25881904510252068</v>
      </c>
      <c r="MV308">
        <f t="shared" ref="MV308" si="237">SIN(RADIANS(MV307))*MV306</f>
        <v>-0.24192189559966787</v>
      </c>
      <c r="MW308">
        <f t="shared" ref="MW308" si="238">SIN(RADIANS(MW307))*MW306</f>
        <v>-0.22495105434386534</v>
      </c>
      <c r="MX308">
        <f t="shared" ref="MX308" si="239">SIN(RADIANS(MX307))*MX306</f>
        <v>-0.20791169081775987</v>
      </c>
      <c r="MY308">
        <f t="shared" ref="MY308" si="240">SIN(RADIANS(MY307))*MY306</f>
        <v>-0.19080899537654467</v>
      </c>
      <c r="MZ308">
        <f t="shared" ref="MZ308:NB308" si="241">SIN(RADIANS(MZ307))*MZ306</f>
        <v>-0.17364817766693039</v>
      </c>
      <c r="NA308">
        <f t="shared" si="241"/>
        <v>-0.15643446504023112</v>
      </c>
      <c r="NB308">
        <f t="shared" si="241"/>
        <v>-0.13917310096006588</v>
      </c>
      <c r="NC308">
        <f>SIN(RADIANS(NC307))*NC306</f>
        <v>-0.12186934340514723</v>
      </c>
      <c r="ND308">
        <f>SIN(RADIANS(ND307))*ND306</f>
        <v>-0.10452846326765342</v>
      </c>
      <c r="NE308">
        <f t="shared" ref="NE308" si="242">SIN(RADIANS(NE307))*NE306</f>
        <v>-8.7155742747658319E-2</v>
      </c>
      <c r="NF308">
        <f t="shared" ref="NF308" si="243">SIN(RADIANS(NF307))*NF306</f>
        <v>-6.9756473744125636E-2</v>
      </c>
      <c r="NG308">
        <f t="shared" ref="NG308" si="244">SIN(RADIANS(NG307))*NG306</f>
        <v>-5.2335956242944369E-2</v>
      </c>
      <c r="NH308">
        <f t="shared" ref="NH308" si="245">SIN(RADIANS(NH307))*NH306</f>
        <v>-3.4899496702500823E-2</v>
      </c>
      <c r="NI308">
        <f>SIN(RADIANS(NI307))*NI306</f>
        <v>-1.745240643728356E-2</v>
      </c>
    </row>
    <row r="309" spans="1:373" x14ac:dyDescent="0.25">
      <c r="A309">
        <f>COS(RADIANS(A307))*A306</f>
        <v>1</v>
      </c>
      <c r="B309">
        <f>COS(RADIANS(B307))*B306</f>
        <v>0.86602540378443871</v>
      </c>
      <c r="C309">
        <f t="shared" ref="C309:I309" si="246">COS(RADIANS(C307))*C306</f>
        <v>0.50000000000000011</v>
      </c>
      <c r="D309">
        <f t="shared" si="246"/>
        <v>6.1257422745431001E-17</v>
      </c>
      <c r="E309">
        <f t="shared" si="246"/>
        <v>-0.49999999999999978</v>
      </c>
      <c r="F309">
        <f t="shared" si="246"/>
        <v>-0.86602540378443871</v>
      </c>
      <c r="G309">
        <f t="shared" si="246"/>
        <v>-1</v>
      </c>
      <c r="H309">
        <f t="shared" si="246"/>
        <v>-0.8660254037844386</v>
      </c>
      <c r="I309">
        <f t="shared" si="246"/>
        <v>-0.50000000000000044</v>
      </c>
      <c r="J309">
        <f>COS(RADIANS(J307))*J306</f>
        <v>-1.83772268236293E-16</v>
      </c>
      <c r="K309">
        <f t="shared" ref="K309:L309" si="247">COS(RADIANS(K307))*K306</f>
        <v>0.50000000000000011</v>
      </c>
      <c r="L309">
        <f t="shared" si="247"/>
        <v>0.86602540378443837</v>
      </c>
      <c r="M309">
        <f t="shared" ref="M309" si="248">COS(RADIANS(M307))*M306</f>
        <v>1</v>
      </c>
      <c r="N309">
        <f>COS(RADIANS(N307))*N306</f>
        <v>1</v>
      </c>
      <c r="O309">
        <f>COS(RADIANS(O307))*O306</f>
        <v>0.99984769515639127</v>
      </c>
      <c r="P309">
        <f>COS(RADIANS(P307))*P306</f>
        <v>0.99939082701909576</v>
      </c>
      <c r="Q309">
        <f t="shared" ref="Q309:CB309" si="249">COS(RADIANS(Q307))*Q306</f>
        <v>0.99862953475457383</v>
      </c>
      <c r="R309">
        <f t="shared" si="249"/>
        <v>0.9975640502598242</v>
      </c>
      <c r="S309">
        <f t="shared" si="249"/>
        <v>0.99619469809174555</v>
      </c>
      <c r="T309">
        <f t="shared" si="249"/>
        <v>0.99452189536827329</v>
      </c>
      <c r="U309">
        <f t="shared" si="249"/>
        <v>0.99254615164132198</v>
      </c>
      <c r="V309">
        <f t="shared" si="249"/>
        <v>0.99026806874157036</v>
      </c>
      <c r="W309">
        <f t="shared" si="249"/>
        <v>0.98768834059513777</v>
      </c>
      <c r="X309">
        <f t="shared" si="249"/>
        <v>0.98480775301220802</v>
      </c>
      <c r="Y309">
        <f t="shared" si="249"/>
        <v>0.98162718344766398</v>
      </c>
      <c r="Z309">
        <f t="shared" si="249"/>
        <v>0.97814760073380569</v>
      </c>
      <c r="AA309">
        <f t="shared" si="249"/>
        <v>0.97437006478523525</v>
      </c>
      <c r="AB309">
        <f t="shared" si="249"/>
        <v>0.97029572627599647</v>
      </c>
      <c r="AC309">
        <f t="shared" si="249"/>
        <v>0.96592582628906831</v>
      </c>
      <c r="AD309">
        <f t="shared" si="249"/>
        <v>0.96126169593831889</v>
      </c>
      <c r="AE309">
        <f t="shared" si="249"/>
        <v>0.95630475596303544</v>
      </c>
      <c r="AF309">
        <f t="shared" si="249"/>
        <v>0.95105651629515353</v>
      </c>
      <c r="AG309">
        <f t="shared" si="249"/>
        <v>0.94551857559931685</v>
      </c>
      <c r="AH309">
        <f t="shared" si="249"/>
        <v>0.93969262078590843</v>
      </c>
      <c r="AI309">
        <f t="shared" si="249"/>
        <v>0.93358042649720174</v>
      </c>
      <c r="AJ309">
        <f t="shared" si="249"/>
        <v>0.92718385456678742</v>
      </c>
      <c r="AK309">
        <f t="shared" si="249"/>
        <v>0.92050485345244037</v>
      </c>
      <c r="AL309">
        <f t="shared" si="249"/>
        <v>0.91354545764260087</v>
      </c>
      <c r="AM309">
        <f t="shared" si="249"/>
        <v>0.90630778703664994</v>
      </c>
      <c r="AN309">
        <f t="shared" si="249"/>
        <v>0.89879404629916704</v>
      </c>
      <c r="AO309">
        <f t="shared" si="249"/>
        <v>0.8910065241883679</v>
      </c>
      <c r="AP309">
        <f t="shared" si="249"/>
        <v>0.88294759285892699</v>
      </c>
      <c r="AQ309">
        <f t="shared" si="249"/>
        <v>0.87461970713939574</v>
      </c>
      <c r="AR309">
        <f t="shared" si="249"/>
        <v>0.86602540378443871</v>
      </c>
      <c r="AS309">
        <f t="shared" si="249"/>
        <v>0.85716730070211233</v>
      </c>
      <c r="AT309">
        <f t="shared" si="249"/>
        <v>0.84804809615642596</v>
      </c>
      <c r="AU309">
        <f t="shared" si="249"/>
        <v>0.83867056794542405</v>
      </c>
      <c r="AV309">
        <f t="shared" si="249"/>
        <v>0.82903757255504162</v>
      </c>
      <c r="AW309">
        <f t="shared" si="249"/>
        <v>0.8191520442889918</v>
      </c>
      <c r="AX309">
        <f t="shared" si="249"/>
        <v>0.80901699437494745</v>
      </c>
      <c r="AY309">
        <f t="shared" si="249"/>
        <v>0.79863551004729283</v>
      </c>
      <c r="AZ309">
        <f t="shared" si="249"/>
        <v>0.7880107536067219</v>
      </c>
      <c r="BA309">
        <f t="shared" si="249"/>
        <v>0.7771459614569709</v>
      </c>
      <c r="BB309">
        <f t="shared" si="249"/>
        <v>0.76604444311897801</v>
      </c>
      <c r="BC309">
        <f t="shared" si="249"/>
        <v>0.75470958022277201</v>
      </c>
      <c r="BD309">
        <f t="shared" si="249"/>
        <v>0.74314482547739424</v>
      </c>
      <c r="BE309">
        <f t="shared" si="249"/>
        <v>0.73135370161917046</v>
      </c>
      <c r="BF309">
        <f t="shared" si="249"/>
        <v>0.71933980033865119</v>
      </c>
      <c r="BG309">
        <f t="shared" si="249"/>
        <v>0.70710678118654757</v>
      </c>
      <c r="BH309">
        <f t="shared" si="249"/>
        <v>0.69465837045899725</v>
      </c>
      <c r="BI309">
        <f t="shared" si="249"/>
        <v>0.68199836006249848</v>
      </c>
      <c r="BJ309">
        <f t="shared" si="249"/>
        <v>0.66913060635885824</v>
      </c>
      <c r="BK309">
        <f t="shared" si="249"/>
        <v>0.65605902899050728</v>
      </c>
      <c r="BL309">
        <f t="shared" si="249"/>
        <v>0.64278760968653936</v>
      </c>
      <c r="BM309">
        <f t="shared" si="249"/>
        <v>0.6293203910498375</v>
      </c>
      <c r="BN309">
        <f t="shared" si="249"/>
        <v>0.61566147532565829</v>
      </c>
      <c r="BO309">
        <f t="shared" si="249"/>
        <v>0.60181502315204838</v>
      </c>
      <c r="BP309">
        <f t="shared" si="249"/>
        <v>0.58778525229247314</v>
      </c>
      <c r="BQ309">
        <f t="shared" si="249"/>
        <v>0.57357643635104616</v>
      </c>
      <c r="BR309">
        <f t="shared" si="249"/>
        <v>0.55919290347074679</v>
      </c>
      <c r="BS309">
        <f t="shared" si="249"/>
        <v>0.54463903501502708</v>
      </c>
      <c r="BT309">
        <f t="shared" si="249"/>
        <v>0.5299192642332049</v>
      </c>
      <c r="BU309">
        <f t="shared" si="249"/>
        <v>0.51503807491005416</v>
      </c>
      <c r="BV309">
        <f t="shared" si="249"/>
        <v>0.50000000000000011</v>
      </c>
      <c r="BW309">
        <f t="shared" si="249"/>
        <v>0.48480962024633711</v>
      </c>
      <c r="BX309">
        <f t="shared" si="249"/>
        <v>0.46947156278589086</v>
      </c>
      <c r="BY309">
        <f t="shared" si="249"/>
        <v>0.4539904997395468</v>
      </c>
      <c r="BZ309">
        <f t="shared" si="249"/>
        <v>0.43837114678907746</v>
      </c>
      <c r="CA309">
        <f t="shared" si="249"/>
        <v>0.42261826174069944</v>
      </c>
      <c r="CB309">
        <f t="shared" si="249"/>
        <v>0.40673664307580021</v>
      </c>
      <c r="CC309">
        <f t="shared" ref="CC309:EN309" si="250">COS(RADIANS(CC307))*CC306</f>
        <v>0.39073112848927372</v>
      </c>
      <c r="CD309">
        <f t="shared" si="250"/>
        <v>0.37460659341591196</v>
      </c>
      <c r="CE309">
        <f t="shared" si="250"/>
        <v>0.35836794954530038</v>
      </c>
      <c r="CF309">
        <f t="shared" si="250"/>
        <v>0.34202014332566882</v>
      </c>
      <c r="CG309">
        <f t="shared" si="250"/>
        <v>0.32556815445715676</v>
      </c>
      <c r="CH309">
        <f t="shared" si="250"/>
        <v>0.30901699437494745</v>
      </c>
      <c r="CI309">
        <f t="shared" si="250"/>
        <v>0.29237170472273677</v>
      </c>
      <c r="CJ309">
        <f t="shared" si="250"/>
        <v>0.27563735581699916</v>
      </c>
      <c r="CK309">
        <f t="shared" si="250"/>
        <v>0.25881904510252074</v>
      </c>
      <c r="CL309">
        <f t="shared" si="250"/>
        <v>0.24192189559966767</v>
      </c>
      <c r="CM309">
        <f t="shared" si="250"/>
        <v>0.22495105434386492</v>
      </c>
      <c r="CN309">
        <f t="shared" si="250"/>
        <v>0.20791169081775945</v>
      </c>
      <c r="CO309">
        <f t="shared" si="250"/>
        <v>0.19080899537654492</v>
      </c>
      <c r="CP309">
        <f t="shared" si="250"/>
        <v>0.17364817766693041</v>
      </c>
      <c r="CQ309">
        <f t="shared" si="250"/>
        <v>0.15643446504023092</v>
      </c>
      <c r="CR309">
        <f t="shared" si="250"/>
        <v>0.13917310096006547</v>
      </c>
      <c r="CS309">
        <f t="shared" si="250"/>
        <v>0.12186934340514749</v>
      </c>
      <c r="CT309">
        <f t="shared" si="250"/>
        <v>0.10452846326765346</v>
      </c>
      <c r="CU309">
        <f t="shared" si="250"/>
        <v>8.7155742747658138E-2</v>
      </c>
      <c r="CV309">
        <f t="shared" si="250"/>
        <v>6.9756473744125233E-2</v>
      </c>
      <c r="CW309">
        <f t="shared" si="250"/>
        <v>5.2335956242943966E-2</v>
      </c>
      <c r="CX309">
        <f t="shared" si="250"/>
        <v>3.489949670250108E-2</v>
      </c>
      <c r="CY309">
        <f t="shared" si="250"/>
        <v>1.7452406437283598E-2</v>
      </c>
      <c r="CZ309">
        <f t="shared" si="250"/>
        <v>6.1257422745431001E-17</v>
      </c>
      <c r="DA309">
        <f t="shared" si="250"/>
        <v>-1.7452406437283477E-2</v>
      </c>
      <c r="DB309">
        <f t="shared" si="250"/>
        <v>-3.4899496702500955E-2</v>
      </c>
      <c r="DC309">
        <f t="shared" si="250"/>
        <v>-5.2335956242943842E-2</v>
      </c>
      <c r="DD309">
        <f t="shared" si="250"/>
        <v>-6.975647374412533E-2</v>
      </c>
      <c r="DE309">
        <f t="shared" si="250"/>
        <v>-8.7155742747658235E-2</v>
      </c>
      <c r="DF309">
        <f t="shared" si="250"/>
        <v>-0.10452846326765355</v>
      </c>
      <c r="DG309">
        <f t="shared" si="250"/>
        <v>-0.12186934340514737</v>
      </c>
      <c r="DH309">
        <f t="shared" si="250"/>
        <v>-0.13917310096006535</v>
      </c>
      <c r="DI309">
        <f t="shared" si="250"/>
        <v>-0.15643446504023081</v>
      </c>
      <c r="DJ309">
        <f t="shared" si="250"/>
        <v>-0.1736481776669303</v>
      </c>
      <c r="DK309">
        <f t="shared" si="250"/>
        <v>-0.1908089953765448</v>
      </c>
      <c r="DL309">
        <f t="shared" si="250"/>
        <v>-0.20791169081775934</v>
      </c>
      <c r="DM309">
        <f t="shared" si="250"/>
        <v>-0.22495105434386503</v>
      </c>
      <c r="DN309">
        <f t="shared" si="250"/>
        <v>-0.24192189559966779</v>
      </c>
      <c r="DO309">
        <f t="shared" si="250"/>
        <v>-0.25881904510252085</v>
      </c>
      <c r="DP309">
        <f t="shared" si="250"/>
        <v>-0.27563735581699905</v>
      </c>
      <c r="DQ309">
        <f t="shared" si="250"/>
        <v>-0.29237170472273666</v>
      </c>
      <c r="DR309">
        <f t="shared" si="250"/>
        <v>-0.30901699437494734</v>
      </c>
      <c r="DS309">
        <f t="shared" si="250"/>
        <v>-0.32556815445715664</v>
      </c>
      <c r="DT309">
        <f t="shared" si="250"/>
        <v>-0.34202014332566871</v>
      </c>
      <c r="DU309">
        <f t="shared" si="250"/>
        <v>-0.35836794954530027</v>
      </c>
      <c r="DV309">
        <f t="shared" si="250"/>
        <v>-0.37460659341591207</v>
      </c>
      <c r="DW309">
        <f t="shared" si="250"/>
        <v>-0.39073112848927377</v>
      </c>
      <c r="DX309">
        <f t="shared" si="250"/>
        <v>-0.40673664307580026</v>
      </c>
      <c r="DY309">
        <f t="shared" si="250"/>
        <v>-0.42261826174069933</v>
      </c>
      <c r="DZ309">
        <f t="shared" si="250"/>
        <v>-0.43837114678907751</v>
      </c>
      <c r="EA309">
        <f t="shared" si="250"/>
        <v>-0.45399049973954669</v>
      </c>
      <c r="EB309">
        <f t="shared" si="250"/>
        <v>-0.46947156278589092</v>
      </c>
      <c r="EC309">
        <f t="shared" si="250"/>
        <v>-0.484809620246337</v>
      </c>
      <c r="ED309">
        <f t="shared" si="250"/>
        <v>-0.49999999999999978</v>
      </c>
      <c r="EE309">
        <f t="shared" si="250"/>
        <v>-0.51503807491005427</v>
      </c>
      <c r="EF309">
        <f t="shared" si="250"/>
        <v>-0.52991926423320479</v>
      </c>
      <c r="EG309">
        <f t="shared" si="250"/>
        <v>-0.54463903501502708</v>
      </c>
      <c r="EH309">
        <f t="shared" si="250"/>
        <v>-0.55919290347074668</v>
      </c>
      <c r="EI309">
        <f t="shared" si="250"/>
        <v>-0.57357643635104616</v>
      </c>
      <c r="EJ309">
        <f t="shared" si="250"/>
        <v>-0.58778525229247303</v>
      </c>
      <c r="EK309">
        <f t="shared" si="250"/>
        <v>-0.60181502315204838</v>
      </c>
      <c r="EL309">
        <f t="shared" si="250"/>
        <v>-0.61566147532565829</v>
      </c>
      <c r="EM309">
        <f t="shared" si="250"/>
        <v>-0.62932039104983728</v>
      </c>
      <c r="EN309">
        <f t="shared" si="250"/>
        <v>-0.64278760968653936</v>
      </c>
      <c r="EO309">
        <f t="shared" ref="EO309:GZ309" si="251">COS(RADIANS(EO307))*EO306</f>
        <v>-0.65605902899050716</v>
      </c>
      <c r="EP309">
        <f t="shared" si="251"/>
        <v>-0.66913060635885824</v>
      </c>
      <c r="EQ309">
        <f t="shared" si="251"/>
        <v>-0.68199836006249837</v>
      </c>
      <c r="ER309">
        <f t="shared" si="251"/>
        <v>-0.69465837045899737</v>
      </c>
      <c r="ES309">
        <f t="shared" si="251"/>
        <v>-0.70710678118654746</v>
      </c>
      <c r="ET309">
        <f t="shared" si="251"/>
        <v>-0.71933980033865119</v>
      </c>
      <c r="EU309">
        <f t="shared" si="251"/>
        <v>-0.73135370161917046</v>
      </c>
      <c r="EV309">
        <f t="shared" si="251"/>
        <v>-0.74314482547739402</v>
      </c>
      <c r="EW309">
        <f t="shared" si="251"/>
        <v>-0.75470958022277201</v>
      </c>
      <c r="EX309">
        <f t="shared" si="251"/>
        <v>-0.7660444431189779</v>
      </c>
      <c r="EY309">
        <f t="shared" si="251"/>
        <v>-0.7771459614569709</v>
      </c>
      <c r="EZ309">
        <f t="shared" si="251"/>
        <v>-0.7880107536067219</v>
      </c>
      <c r="FA309">
        <f t="shared" si="251"/>
        <v>-0.79863551004729294</v>
      </c>
      <c r="FB309">
        <f t="shared" si="251"/>
        <v>-0.80901699437494734</v>
      </c>
      <c r="FC309">
        <f t="shared" si="251"/>
        <v>-0.81915204428899191</v>
      </c>
      <c r="FD309">
        <f t="shared" si="251"/>
        <v>-0.82903757255504162</v>
      </c>
      <c r="FE309">
        <f t="shared" si="251"/>
        <v>-0.83867056794542394</v>
      </c>
      <c r="FF309">
        <f t="shared" si="251"/>
        <v>-0.84804809615642596</v>
      </c>
      <c r="FG309">
        <f t="shared" si="251"/>
        <v>-0.85716730070211222</v>
      </c>
      <c r="FH309">
        <f t="shared" si="251"/>
        <v>-0.86602540378443871</v>
      </c>
      <c r="FI309">
        <f t="shared" si="251"/>
        <v>-0.87461970713939574</v>
      </c>
      <c r="FJ309">
        <f t="shared" si="251"/>
        <v>-0.88294759285892699</v>
      </c>
      <c r="FK309">
        <f t="shared" si="251"/>
        <v>-0.89100652418836779</v>
      </c>
      <c r="FL309">
        <f t="shared" si="251"/>
        <v>-0.89879404629916704</v>
      </c>
      <c r="FM309">
        <f t="shared" si="251"/>
        <v>-0.90630778703664994</v>
      </c>
      <c r="FN309">
        <f t="shared" si="251"/>
        <v>-0.91354545764260076</v>
      </c>
      <c r="FO309">
        <f t="shared" si="251"/>
        <v>-0.92050485345244037</v>
      </c>
      <c r="FP309">
        <f t="shared" si="251"/>
        <v>-0.92718385456678731</v>
      </c>
      <c r="FQ309">
        <f t="shared" si="251"/>
        <v>-0.93358042649720174</v>
      </c>
      <c r="FR309">
        <f t="shared" si="251"/>
        <v>-0.93969262078590832</v>
      </c>
      <c r="FS309">
        <f t="shared" si="251"/>
        <v>-0.94551857559931685</v>
      </c>
      <c r="FT309">
        <f t="shared" si="251"/>
        <v>-0.95105651629515353</v>
      </c>
      <c r="FU309">
        <f t="shared" si="251"/>
        <v>-0.95630475596303555</v>
      </c>
      <c r="FV309">
        <f t="shared" si="251"/>
        <v>-0.96126169593831889</v>
      </c>
      <c r="FW309">
        <f t="shared" si="251"/>
        <v>-0.9659258262890682</v>
      </c>
      <c r="FX309">
        <f t="shared" si="251"/>
        <v>-0.97029572627599647</v>
      </c>
      <c r="FY309">
        <f t="shared" si="251"/>
        <v>-0.97437006478523513</v>
      </c>
      <c r="FZ309">
        <f t="shared" si="251"/>
        <v>-0.97814760073380569</v>
      </c>
      <c r="GA309">
        <f t="shared" si="251"/>
        <v>-0.98162718344766398</v>
      </c>
      <c r="GB309">
        <f t="shared" si="251"/>
        <v>-0.98480775301220802</v>
      </c>
      <c r="GC309">
        <f t="shared" si="251"/>
        <v>-0.98768834059513766</v>
      </c>
      <c r="GD309">
        <f t="shared" si="251"/>
        <v>-0.99026806874157036</v>
      </c>
      <c r="GE309">
        <f t="shared" si="251"/>
        <v>-0.99254615164132198</v>
      </c>
      <c r="GF309">
        <f t="shared" si="251"/>
        <v>-0.99452189536827329</v>
      </c>
      <c r="GG309">
        <f t="shared" si="251"/>
        <v>-0.99619469809174555</v>
      </c>
      <c r="GH309">
        <f t="shared" si="251"/>
        <v>-0.9975640502598242</v>
      </c>
      <c r="GI309">
        <f t="shared" si="251"/>
        <v>-0.99862953475457383</v>
      </c>
      <c r="GJ309">
        <f t="shared" si="251"/>
        <v>-0.99939082701909576</v>
      </c>
      <c r="GK309">
        <f t="shared" si="251"/>
        <v>-0.99984769515639127</v>
      </c>
      <c r="GL309">
        <f t="shared" si="251"/>
        <v>-1</v>
      </c>
      <c r="GM309">
        <f t="shared" si="251"/>
        <v>-0.99984769515639127</v>
      </c>
      <c r="GN309">
        <f t="shared" si="251"/>
        <v>-0.99939082701909576</v>
      </c>
      <c r="GO309">
        <f t="shared" si="251"/>
        <v>-0.99862953475457383</v>
      </c>
      <c r="GP309">
        <f t="shared" si="251"/>
        <v>-0.9975640502598242</v>
      </c>
      <c r="GQ309">
        <f t="shared" si="251"/>
        <v>-0.99619469809174555</v>
      </c>
      <c r="GR309">
        <f t="shared" si="251"/>
        <v>-0.99452189536827329</v>
      </c>
      <c r="GS309">
        <f t="shared" si="251"/>
        <v>-0.99254615164132209</v>
      </c>
      <c r="GT309">
        <f t="shared" si="251"/>
        <v>-0.99026806874157025</v>
      </c>
      <c r="GU309">
        <f t="shared" si="251"/>
        <v>-0.98768834059513777</v>
      </c>
      <c r="GV309">
        <f t="shared" si="251"/>
        <v>-0.98480775301220802</v>
      </c>
      <c r="GW309">
        <f t="shared" si="251"/>
        <v>-0.98162718344766398</v>
      </c>
      <c r="GX309">
        <f t="shared" si="251"/>
        <v>-0.97814760073380558</v>
      </c>
      <c r="GY309">
        <f t="shared" si="251"/>
        <v>-0.97437006478523525</v>
      </c>
      <c r="GZ309">
        <f t="shared" si="251"/>
        <v>-0.97029572627599647</v>
      </c>
      <c r="HA309">
        <f t="shared" ref="HA309:JL309" si="252">COS(RADIANS(HA307))*HA306</f>
        <v>-0.96592582628906831</v>
      </c>
      <c r="HB309">
        <f t="shared" si="252"/>
        <v>-0.96126169593831889</v>
      </c>
      <c r="HC309">
        <f t="shared" si="252"/>
        <v>-0.95630475596303544</v>
      </c>
      <c r="HD309">
        <f t="shared" si="252"/>
        <v>-0.95105651629515364</v>
      </c>
      <c r="HE309">
        <f t="shared" si="252"/>
        <v>-0.94551857559931674</v>
      </c>
      <c r="HF309">
        <f t="shared" si="252"/>
        <v>-0.93969262078590843</v>
      </c>
      <c r="HG309">
        <f t="shared" si="252"/>
        <v>-0.93358042649720174</v>
      </c>
      <c r="HH309">
        <f t="shared" si="252"/>
        <v>-0.92718385456678742</v>
      </c>
      <c r="HI309">
        <f t="shared" si="252"/>
        <v>-0.92050485345244037</v>
      </c>
      <c r="HJ309">
        <f t="shared" si="252"/>
        <v>-0.91354545764260087</v>
      </c>
      <c r="HK309">
        <f t="shared" si="252"/>
        <v>-0.90630778703665005</v>
      </c>
      <c r="HL309">
        <f t="shared" si="252"/>
        <v>-0.89879404629916693</v>
      </c>
      <c r="HM309">
        <f t="shared" si="252"/>
        <v>-0.8910065241883679</v>
      </c>
      <c r="HN309">
        <f t="shared" si="252"/>
        <v>-0.88294759285892688</v>
      </c>
      <c r="HO309">
        <f t="shared" si="252"/>
        <v>-0.87461970713939585</v>
      </c>
      <c r="HP309">
        <f t="shared" si="252"/>
        <v>-0.8660254037844386</v>
      </c>
      <c r="HQ309">
        <f t="shared" si="252"/>
        <v>-0.85716730070211233</v>
      </c>
      <c r="HR309">
        <f t="shared" si="252"/>
        <v>-0.84804809615642607</v>
      </c>
      <c r="HS309">
        <f t="shared" si="252"/>
        <v>-0.83867056794542405</v>
      </c>
      <c r="HT309">
        <f t="shared" si="252"/>
        <v>-0.82903757255504185</v>
      </c>
      <c r="HU309">
        <f t="shared" si="252"/>
        <v>-0.8191520442889918</v>
      </c>
      <c r="HV309">
        <f t="shared" si="252"/>
        <v>-0.80901699437494756</v>
      </c>
      <c r="HW309">
        <f t="shared" si="252"/>
        <v>-0.79863551004729283</v>
      </c>
      <c r="HX309">
        <f t="shared" si="252"/>
        <v>-0.78801075360672201</v>
      </c>
      <c r="HY309">
        <f t="shared" si="252"/>
        <v>-0.77714596145697079</v>
      </c>
      <c r="HZ309">
        <f t="shared" si="252"/>
        <v>-0.76604444311897801</v>
      </c>
      <c r="IA309">
        <f t="shared" si="252"/>
        <v>-0.75470958022277213</v>
      </c>
      <c r="IB309">
        <f t="shared" si="252"/>
        <v>-0.74314482547739424</v>
      </c>
      <c r="IC309">
        <f t="shared" si="252"/>
        <v>-0.73135370161917057</v>
      </c>
      <c r="ID309">
        <f t="shared" si="252"/>
        <v>-0.71933980033865108</v>
      </c>
      <c r="IE309">
        <f t="shared" si="252"/>
        <v>-0.70710678118654768</v>
      </c>
      <c r="IF309">
        <f t="shared" si="252"/>
        <v>-0.69465837045899725</v>
      </c>
      <c r="IG309">
        <f t="shared" si="252"/>
        <v>-0.68199836006249859</v>
      </c>
      <c r="IH309">
        <f t="shared" si="252"/>
        <v>-0.66913060635885813</v>
      </c>
      <c r="II309">
        <f t="shared" si="252"/>
        <v>-0.65605902899050728</v>
      </c>
      <c r="IJ309">
        <f t="shared" si="252"/>
        <v>-0.64278760968653947</v>
      </c>
      <c r="IK309">
        <f t="shared" si="252"/>
        <v>-0.62932039104983784</v>
      </c>
      <c r="IL309">
        <f t="shared" si="252"/>
        <v>-0.61566147532565807</v>
      </c>
      <c r="IM309">
        <f t="shared" si="252"/>
        <v>-0.60181502315204827</v>
      </c>
      <c r="IN309">
        <f t="shared" si="252"/>
        <v>-0.58778525229247325</v>
      </c>
      <c r="IO309">
        <f t="shared" si="252"/>
        <v>-0.57357643635104638</v>
      </c>
      <c r="IP309">
        <f t="shared" si="252"/>
        <v>-0.55919290347074657</v>
      </c>
      <c r="IQ309">
        <f t="shared" si="252"/>
        <v>-0.54463903501502697</v>
      </c>
      <c r="IR309">
        <f t="shared" si="252"/>
        <v>-0.52991926423320501</v>
      </c>
      <c r="IS309">
        <f t="shared" si="252"/>
        <v>-0.51503807491005449</v>
      </c>
      <c r="IT309">
        <f t="shared" si="252"/>
        <v>-0.50000000000000044</v>
      </c>
      <c r="IU309">
        <f t="shared" si="252"/>
        <v>-0.48480962024633684</v>
      </c>
      <c r="IV309">
        <f t="shared" si="252"/>
        <v>-0.46947156278589075</v>
      </c>
      <c r="IW309">
        <f t="shared" si="252"/>
        <v>-0.45399049973954692</v>
      </c>
      <c r="IX309">
        <f t="shared" si="252"/>
        <v>-0.43837114678907774</v>
      </c>
      <c r="IY309">
        <f t="shared" si="252"/>
        <v>-0.42261826174069916</v>
      </c>
      <c r="IZ309">
        <f t="shared" si="252"/>
        <v>-0.4067366430758001</v>
      </c>
      <c r="JA309">
        <f t="shared" si="252"/>
        <v>-0.39073112848927383</v>
      </c>
      <c r="JB309">
        <f t="shared" si="252"/>
        <v>-0.37460659341591229</v>
      </c>
      <c r="JC309">
        <f t="shared" si="252"/>
        <v>-0.35836794954530071</v>
      </c>
      <c r="JD309">
        <f t="shared" si="252"/>
        <v>-0.34202014332566855</v>
      </c>
      <c r="JE309">
        <f t="shared" si="252"/>
        <v>-0.32556815445715664</v>
      </c>
      <c r="JF309">
        <f t="shared" si="252"/>
        <v>-0.30901699437494756</v>
      </c>
      <c r="JG309">
        <f t="shared" si="252"/>
        <v>-0.2923717047227371</v>
      </c>
      <c r="JH309">
        <f t="shared" si="252"/>
        <v>-0.27563735581699889</v>
      </c>
      <c r="JI309">
        <f t="shared" si="252"/>
        <v>-0.25881904510252063</v>
      </c>
      <c r="JJ309">
        <f t="shared" si="252"/>
        <v>-0.24192189559966779</v>
      </c>
      <c r="JK309">
        <f t="shared" si="252"/>
        <v>-0.22495105434386525</v>
      </c>
      <c r="JL309">
        <f t="shared" si="252"/>
        <v>-0.20791169081775979</v>
      </c>
      <c r="JM309">
        <f t="shared" ref="JM309:LX309" si="253">COS(RADIANS(JM307))*JM306</f>
        <v>-0.19080899537654461</v>
      </c>
      <c r="JN309">
        <f t="shared" si="253"/>
        <v>-0.17364817766693033</v>
      </c>
      <c r="JO309">
        <f t="shared" si="253"/>
        <v>-0.15643446504023104</v>
      </c>
      <c r="JP309">
        <f t="shared" si="253"/>
        <v>-0.13917310096006583</v>
      </c>
      <c r="JQ309">
        <f t="shared" si="253"/>
        <v>-0.12186934340514717</v>
      </c>
      <c r="JR309">
        <f t="shared" si="253"/>
        <v>-0.10452846326765336</v>
      </c>
      <c r="JS309">
        <f t="shared" si="253"/>
        <v>-8.7155742747658249E-2</v>
      </c>
      <c r="JT309">
        <f t="shared" si="253"/>
        <v>-6.975647374412558E-2</v>
      </c>
      <c r="JU309">
        <f t="shared" si="253"/>
        <v>-5.2335956242944306E-2</v>
      </c>
      <c r="JV309">
        <f t="shared" si="253"/>
        <v>-3.4899496702500761E-2</v>
      </c>
      <c r="JW309">
        <f t="shared" si="253"/>
        <v>-1.7452406437283498E-2</v>
      </c>
      <c r="JX309">
        <f t="shared" si="253"/>
        <v>-1.83772268236293E-16</v>
      </c>
      <c r="JY309">
        <f t="shared" si="253"/>
        <v>1.745240643728313E-2</v>
      </c>
      <c r="JZ309">
        <f t="shared" si="253"/>
        <v>3.4899496702501281E-2</v>
      </c>
      <c r="KA309">
        <f t="shared" si="253"/>
        <v>5.2335956242943946E-2</v>
      </c>
      <c r="KB309">
        <f t="shared" si="253"/>
        <v>6.9756473744125219E-2</v>
      </c>
      <c r="KC309">
        <f t="shared" si="253"/>
        <v>8.7155742747657888E-2</v>
      </c>
      <c r="KD309">
        <f t="shared" si="253"/>
        <v>0.10452846326765299</v>
      </c>
      <c r="KE309">
        <f t="shared" si="253"/>
        <v>0.12186934340514768</v>
      </c>
      <c r="KF309">
        <f t="shared" si="253"/>
        <v>0.13917310096006547</v>
      </c>
      <c r="KG309">
        <f t="shared" si="253"/>
        <v>0.15643446504023067</v>
      </c>
      <c r="KH309">
        <f t="shared" si="253"/>
        <v>0.17364817766692997</v>
      </c>
      <c r="KI309">
        <f t="shared" si="253"/>
        <v>0.19080899537654511</v>
      </c>
      <c r="KJ309">
        <f t="shared" si="253"/>
        <v>0.20791169081775943</v>
      </c>
      <c r="KK309">
        <f t="shared" si="253"/>
        <v>0.22495105434386492</v>
      </c>
      <c r="KL309">
        <f t="shared" si="253"/>
        <v>0.24192189559966745</v>
      </c>
      <c r="KM309">
        <f t="shared" si="253"/>
        <v>0.2588190451025203</v>
      </c>
      <c r="KN309">
        <f t="shared" si="253"/>
        <v>0.27563735581699939</v>
      </c>
      <c r="KO309">
        <f t="shared" si="253"/>
        <v>0.29237170472273671</v>
      </c>
      <c r="KP309">
        <f t="shared" si="253"/>
        <v>0.30901699437494723</v>
      </c>
      <c r="KQ309">
        <f t="shared" si="253"/>
        <v>0.32556815445715631</v>
      </c>
      <c r="KR309">
        <f t="shared" si="253"/>
        <v>0.34202014332566899</v>
      </c>
      <c r="KS309">
        <f t="shared" si="253"/>
        <v>0.35836794954530038</v>
      </c>
      <c r="KT309">
        <f t="shared" si="253"/>
        <v>0.37460659341591196</v>
      </c>
      <c r="KU309">
        <f t="shared" si="253"/>
        <v>0.39073112848927349</v>
      </c>
      <c r="KV309">
        <f t="shared" si="253"/>
        <v>0.40673664307579976</v>
      </c>
      <c r="KW309">
        <f t="shared" si="253"/>
        <v>0.42261826174069961</v>
      </c>
      <c r="KX309">
        <f t="shared" si="253"/>
        <v>0.4383711467890774</v>
      </c>
      <c r="KY309">
        <f t="shared" si="253"/>
        <v>0.45399049973954664</v>
      </c>
      <c r="KZ309">
        <f t="shared" si="253"/>
        <v>0.46947156278589042</v>
      </c>
      <c r="LA309">
        <f t="shared" si="253"/>
        <v>0.48480962024633728</v>
      </c>
      <c r="LB309">
        <f t="shared" si="253"/>
        <v>0.50000000000000011</v>
      </c>
      <c r="LC309">
        <f t="shared" si="253"/>
        <v>0.51503807491005416</v>
      </c>
      <c r="LD309">
        <f t="shared" si="253"/>
        <v>0.52991926423320468</v>
      </c>
      <c r="LE309">
        <f t="shared" si="253"/>
        <v>0.54463903501502664</v>
      </c>
      <c r="LF309">
        <f t="shared" si="253"/>
        <v>0.55919290347074702</v>
      </c>
      <c r="LG309">
        <f t="shared" si="253"/>
        <v>0.57357643635104605</v>
      </c>
      <c r="LH309">
        <f t="shared" si="253"/>
        <v>0.58778525229247292</v>
      </c>
      <c r="LI309">
        <f t="shared" si="253"/>
        <v>0.60181502315204793</v>
      </c>
      <c r="LJ309">
        <f t="shared" si="253"/>
        <v>0.61566147532565851</v>
      </c>
      <c r="LK309">
        <f t="shared" si="253"/>
        <v>0.6293203910498375</v>
      </c>
      <c r="LL309">
        <f t="shared" si="253"/>
        <v>0.64278760968653925</v>
      </c>
      <c r="LM309">
        <f t="shared" si="253"/>
        <v>0.65605902899050705</v>
      </c>
      <c r="LN309">
        <f t="shared" si="253"/>
        <v>0.66913060635885779</v>
      </c>
      <c r="LO309">
        <f t="shared" si="253"/>
        <v>0.68199836006249859</v>
      </c>
      <c r="LP309">
        <f t="shared" si="253"/>
        <v>0.69465837045899725</v>
      </c>
      <c r="LQ309">
        <f t="shared" si="253"/>
        <v>0.70710678118654735</v>
      </c>
      <c r="LR309">
        <f t="shared" si="253"/>
        <v>0.71933980033865086</v>
      </c>
      <c r="LS309">
        <f t="shared" si="253"/>
        <v>0.73135370161917068</v>
      </c>
      <c r="LT309">
        <f t="shared" si="253"/>
        <v>0.74314482547739424</v>
      </c>
      <c r="LU309">
        <f t="shared" si="253"/>
        <v>0.7547095802227719</v>
      </c>
      <c r="LV309">
        <f t="shared" si="253"/>
        <v>0.76604444311897779</v>
      </c>
      <c r="LW309">
        <f t="shared" si="253"/>
        <v>0.77714596145697057</v>
      </c>
      <c r="LX309">
        <f t="shared" si="253"/>
        <v>0.78801075360672201</v>
      </c>
      <c r="LY309">
        <f t="shared" ref="LY309:NB309" si="254">COS(RADIANS(LY307))*LY306</f>
        <v>0.79863551004729283</v>
      </c>
      <c r="LZ309">
        <f t="shared" si="254"/>
        <v>0.80901699437494734</v>
      </c>
      <c r="MA309">
        <f t="shared" si="254"/>
        <v>0.81915204428899158</v>
      </c>
      <c r="MB309">
        <f t="shared" si="254"/>
        <v>0.82903757255504185</v>
      </c>
      <c r="MC309">
        <f t="shared" si="254"/>
        <v>0.83867056794542405</v>
      </c>
      <c r="MD309">
        <f t="shared" si="254"/>
        <v>0.84804809615642596</v>
      </c>
      <c r="ME309">
        <f t="shared" si="254"/>
        <v>0.85716730070211211</v>
      </c>
      <c r="MF309">
        <f t="shared" si="254"/>
        <v>0.86602540378443837</v>
      </c>
      <c r="MG309">
        <f t="shared" si="254"/>
        <v>0.87461970713939585</v>
      </c>
      <c r="MH309">
        <f t="shared" si="254"/>
        <v>0.88294759285892688</v>
      </c>
      <c r="MI309">
        <f t="shared" si="254"/>
        <v>0.89100652418836779</v>
      </c>
      <c r="MJ309">
        <f t="shared" si="254"/>
        <v>0.89879404629916682</v>
      </c>
      <c r="MK309">
        <f t="shared" si="254"/>
        <v>0.90630778703665005</v>
      </c>
      <c r="ML309">
        <f t="shared" si="254"/>
        <v>0.91354545764260098</v>
      </c>
      <c r="MM309">
        <f t="shared" si="254"/>
        <v>0.92050485345244026</v>
      </c>
      <c r="MN309">
        <f t="shared" si="254"/>
        <v>0.92718385456678731</v>
      </c>
      <c r="MO309">
        <f t="shared" si="254"/>
        <v>0.93358042649720152</v>
      </c>
      <c r="MP309">
        <f t="shared" si="254"/>
        <v>0.93969262078590843</v>
      </c>
      <c r="MQ309">
        <f t="shared" si="254"/>
        <v>0.94551857559931685</v>
      </c>
      <c r="MR309">
        <f t="shared" si="254"/>
        <v>0.95105651629515353</v>
      </c>
      <c r="MS309">
        <f t="shared" si="254"/>
        <v>0.95630475596303532</v>
      </c>
      <c r="MT309">
        <f t="shared" si="254"/>
        <v>0.96126169593831889</v>
      </c>
      <c r="MU309">
        <f t="shared" si="254"/>
        <v>0.96592582628906831</v>
      </c>
      <c r="MV309">
        <f t="shared" si="254"/>
        <v>0.97029572627599647</v>
      </c>
      <c r="MW309">
        <f t="shared" si="254"/>
        <v>0.97437006478523513</v>
      </c>
      <c r="MX309">
        <f t="shared" si="254"/>
        <v>0.97814760073380558</v>
      </c>
      <c r="MY309">
        <f t="shared" si="254"/>
        <v>0.98162718344766398</v>
      </c>
      <c r="MZ309">
        <f t="shared" si="254"/>
        <v>0.98480775301220802</v>
      </c>
      <c r="NA309">
        <f t="shared" si="254"/>
        <v>0.98768834059513766</v>
      </c>
      <c r="NB309">
        <f t="shared" si="254"/>
        <v>0.99026806874157025</v>
      </c>
      <c r="NC309">
        <f>COS(RADIANS(NC307))*NC306</f>
        <v>0.99254615164132209</v>
      </c>
      <c r="ND309">
        <f>COS(RADIANS(ND307))*ND306</f>
        <v>0.99452189536827329</v>
      </c>
      <c r="NE309">
        <f t="shared" ref="NE309:NH309" si="255">COS(RADIANS(NE307))*NE306</f>
        <v>0.99619469809174555</v>
      </c>
      <c r="NF309">
        <f t="shared" si="255"/>
        <v>0.9975640502598242</v>
      </c>
      <c r="NG309">
        <f t="shared" si="255"/>
        <v>0.99862953475457383</v>
      </c>
      <c r="NH309">
        <f t="shared" si="255"/>
        <v>0.99939082701909576</v>
      </c>
      <c r="NI309">
        <f>COS(RADIANS(NI307))*NI306</f>
        <v>0.99984769515639127</v>
      </c>
    </row>
    <row r="310" spans="1:373" x14ac:dyDescent="0.25">
      <c r="E310" t="s">
        <v>30</v>
      </c>
      <c r="F310" t="s">
        <v>31</v>
      </c>
    </row>
    <row r="311" spans="1:373" x14ac:dyDescent="0.25">
      <c r="E311" t="s">
        <v>146</v>
      </c>
      <c r="F311" t="s">
        <v>147</v>
      </c>
      <c r="H311" t="s">
        <v>146</v>
      </c>
      <c r="I311">
        <v>10</v>
      </c>
    </row>
    <row r="312" spans="1:373" x14ac:dyDescent="0.25">
      <c r="E312" t="s">
        <v>147</v>
      </c>
      <c r="F312" t="s">
        <v>146</v>
      </c>
      <c r="H312" t="s">
        <v>147</v>
      </c>
      <c r="I312">
        <v>100</v>
      </c>
    </row>
    <row r="313" spans="1:373" x14ac:dyDescent="0.25">
      <c r="E313" t="s">
        <v>148</v>
      </c>
      <c r="F313" t="s">
        <v>148</v>
      </c>
      <c r="I313" t="e" cm="1">
        <f t="array" aca="1" ref="I313" ca="1">F()</f>
        <v>#NAME?</v>
      </c>
    </row>
    <row r="314" spans="1:373" x14ac:dyDescent="0.25">
      <c r="E314" t="s">
        <v>149</v>
      </c>
      <c r="F314" t="s">
        <v>150</v>
      </c>
    </row>
    <row r="315" spans="1:373" x14ac:dyDescent="0.25">
      <c r="F315" t="s">
        <v>149</v>
      </c>
    </row>
    <row r="316" spans="1:373" x14ac:dyDescent="0.25">
      <c r="F316" t="s">
        <v>151</v>
      </c>
    </row>
    <row r="324" spans="1:31" x14ac:dyDescent="0.25">
      <c r="K324">
        <v>0</v>
      </c>
    </row>
    <row r="325" spans="1:31" x14ac:dyDescent="0.25">
      <c r="A325" t="s">
        <v>137</v>
      </c>
      <c r="B325" t="s">
        <v>134</v>
      </c>
      <c r="C325" t="s">
        <v>109</v>
      </c>
      <c r="D325" t="s">
        <v>110</v>
      </c>
      <c r="E325" t="s">
        <v>111</v>
      </c>
      <c r="F325" t="s">
        <v>112</v>
      </c>
      <c r="G325" t="s">
        <v>113</v>
      </c>
      <c r="H325" t="s">
        <v>114</v>
      </c>
      <c r="I325" t="s">
        <v>115</v>
      </c>
      <c r="K325">
        <f>K324+1</f>
        <v>1</v>
      </c>
      <c r="L325">
        <f>K325+1</f>
        <v>2</v>
      </c>
      <c r="M325">
        <f t="shared" ref="M325:T325" si="256">L325+1</f>
        <v>3</v>
      </c>
      <c r="N325">
        <f t="shared" si="256"/>
        <v>4</v>
      </c>
      <c r="O325">
        <f t="shared" si="256"/>
        <v>5</v>
      </c>
      <c r="P325">
        <f t="shared" si="256"/>
        <v>6</v>
      </c>
      <c r="Q325">
        <f t="shared" si="256"/>
        <v>7</v>
      </c>
      <c r="R325">
        <f t="shared" si="256"/>
        <v>8</v>
      </c>
      <c r="S325">
        <f>R325+1</f>
        <v>9</v>
      </c>
      <c r="T325">
        <f t="shared" si="256"/>
        <v>10</v>
      </c>
      <c r="U325">
        <f>T424+1</f>
        <v>1</v>
      </c>
      <c r="V325">
        <f>U325+1</f>
        <v>2</v>
      </c>
      <c r="W325">
        <f t="shared" ref="W325:AB325" si="257">V325+1</f>
        <v>3</v>
      </c>
      <c r="X325">
        <f t="shared" si="257"/>
        <v>4</v>
      </c>
      <c r="Y325">
        <f t="shared" si="257"/>
        <v>5</v>
      </c>
      <c r="Z325">
        <f t="shared" si="257"/>
        <v>6</v>
      </c>
      <c r="AA325">
        <f t="shared" si="257"/>
        <v>7</v>
      </c>
      <c r="AB325">
        <f t="shared" si="257"/>
        <v>8</v>
      </c>
      <c r="AC325">
        <f>AB325+1</f>
        <v>9</v>
      </c>
      <c r="AD325">
        <f t="shared" ref="AD325" si="258">AC325+1</f>
        <v>10</v>
      </c>
      <c r="AE325">
        <f>AD424+1</f>
        <v>1</v>
      </c>
    </row>
    <row r="326" spans="1:31" x14ac:dyDescent="0.25">
      <c r="A326" t="s">
        <v>121</v>
      </c>
      <c r="B326">
        <v>1</v>
      </c>
      <c r="K326">
        <f>T325+1</f>
        <v>11</v>
      </c>
      <c r="L326">
        <f>K326+1</f>
        <v>12</v>
      </c>
      <c r="M326">
        <f t="shared" ref="M326:T326" si="259">L326+1</f>
        <v>13</v>
      </c>
      <c r="N326">
        <f t="shared" si="259"/>
        <v>14</v>
      </c>
      <c r="O326">
        <f t="shared" si="259"/>
        <v>15</v>
      </c>
      <c r="P326">
        <f t="shared" si="259"/>
        <v>16</v>
      </c>
      <c r="Q326">
        <f t="shared" si="259"/>
        <v>17</v>
      </c>
      <c r="R326">
        <f t="shared" si="259"/>
        <v>18</v>
      </c>
      <c r="S326">
        <f t="shared" si="259"/>
        <v>19</v>
      </c>
      <c r="T326">
        <f t="shared" si="259"/>
        <v>20</v>
      </c>
      <c r="U326">
        <f>AD325+1</f>
        <v>11</v>
      </c>
      <c r="V326">
        <f>U326+1</f>
        <v>12</v>
      </c>
      <c r="W326">
        <f t="shared" ref="W326:AD326" si="260">V326+1</f>
        <v>13</v>
      </c>
      <c r="X326">
        <f t="shared" si="260"/>
        <v>14</v>
      </c>
      <c r="Y326">
        <f t="shared" si="260"/>
        <v>15</v>
      </c>
      <c r="Z326">
        <f t="shared" si="260"/>
        <v>16</v>
      </c>
      <c r="AA326">
        <f t="shared" si="260"/>
        <v>17</v>
      </c>
      <c r="AB326">
        <f t="shared" si="260"/>
        <v>18</v>
      </c>
      <c r="AC326">
        <f t="shared" si="260"/>
        <v>19</v>
      </c>
      <c r="AD326">
        <f t="shared" si="260"/>
        <v>20</v>
      </c>
      <c r="AE326">
        <f>AN325+1</f>
        <v>1</v>
      </c>
    </row>
    <row r="327" spans="1:31" x14ac:dyDescent="0.25">
      <c r="A327" t="s">
        <v>122</v>
      </c>
      <c r="B327">
        <v>1</v>
      </c>
      <c r="K327">
        <f t="shared" ref="K327:K334" si="261">T326+1</f>
        <v>21</v>
      </c>
      <c r="L327">
        <f t="shared" ref="L327:T327" si="262">K327+1</f>
        <v>22</v>
      </c>
      <c r="M327">
        <f t="shared" si="262"/>
        <v>23</v>
      </c>
      <c r="N327">
        <f t="shared" si="262"/>
        <v>24</v>
      </c>
      <c r="O327">
        <f t="shared" si="262"/>
        <v>25</v>
      </c>
      <c r="P327">
        <f t="shared" si="262"/>
        <v>26</v>
      </c>
      <c r="Q327">
        <f t="shared" si="262"/>
        <v>27</v>
      </c>
      <c r="R327">
        <f t="shared" si="262"/>
        <v>28</v>
      </c>
      <c r="S327">
        <f t="shared" si="262"/>
        <v>29</v>
      </c>
      <c r="T327">
        <f t="shared" si="262"/>
        <v>30</v>
      </c>
      <c r="U327">
        <f t="shared" ref="U327:U334" si="263">AD326+1</f>
        <v>21</v>
      </c>
      <c r="V327">
        <f t="shared" ref="V327:AD327" si="264">U327+1</f>
        <v>22</v>
      </c>
      <c r="W327">
        <f t="shared" si="264"/>
        <v>23</v>
      </c>
      <c r="X327">
        <f t="shared" si="264"/>
        <v>24</v>
      </c>
      <c r="Y327">
        <f t="shared" si="264"/>
        <v>25</v>
      </c>
      <c r="Z327">
        <f t="shared" si="264"/>
        <v>26</v>
      </c>
      <c r="AA327">
        <f t="shared" si="264"/>
        <v>27</v>
      </c>
      <c r="AB327">
        <f t="shared" si="264"/>
        <v>28</v>
      </c>
      <c r="AC327">
        <f t="shared" si="264"/>
        <v>29</v>
      </c>
      <c r="AD327">
        <f t="shared" si="264"/>
        <v>30</v>
      </c>
      <c r="AE327">
        <f t="shared" ref="AE327:AE371" si="265">AN326+1</f>
        <v>1</v>
      </c>
    </row>
    <row r="328" spans="1:31" x14ac:dyDescent="0.25">
      <c r="A328" t="s">
        <v>123</v>
      </c>
      <c r="B328">
        <v>-2</v>
      </c>
      <c r="K328">
        <f t="shared" si="261"/>
        <v>31</v>
      </c>
      <c r="L328">
        <f t="shared" ref="L328:T328" si="266">K328+1</f>
        <v>32</v>
      </c>
      <c r="M328">
        <f t="shared" si="266"/>
        <v>33</v>
      </c>
      <c r="N328">
        <f t="shared" si="266"/>
        <v>34</v>
      </c>
      <c r="O328">
        <f t="shared" si="266"/>
        <v>35</v>
      </c>
      <c r="P328">
        <f t="shared" si="266"/>
        <v>36</v>
      </c>
      <c r="Q328">
        <f t="shared" si="266"/>
        <v>37</v>
      </c>
      <c r="R328">
        <f t="shared" si="266"/>
        <v>38</v>
      </c>
      <c r="S328">
        <f t="shared" si="266"/>
        <v>39</v>
      </c>
      <c r="T328">
        <f t="shared" si="266"/>
        <v>40</v>
      </c>
      <c r="U328">
        <f t="shared" si="263"/>
        <v>31</v>
      </c>
      <c r="V328">
        <f t="shared" ref="V328:AD328" si="267">U328+1</f>
        <v>32</v>
      </c>
      <c r="W328">
        <f t="shared" si="267"/>
        <v>33</v>
      </c>
      <c r="X328">
        <f t="shared" si="267"/>
        <v>34</v>
      </c>
      <c r="Y328">
        <f t="shared" si="267"/>
        <v>35</v>
      </c>
      <c r="Z328">
        <f t="shared" si="267"/>
        <v>36</v>
      </c>
      <c r="AA328">
        <f t="shared" si="267"/>
        <v>37</v>
      </c>
      <c r="AB328">
        <f t="shared" si="267"/>
        <v>38</v>
      </c>
      <c r="AC328">
        <f t="shared" si="267"/>
        <v>39</v>
      </c>
      <c r="AD328">
        <f t="shared" si="267"/>
        <v>40</v>
      </c>
      <c r="AE328">
        <f t="shared" si="265"/>
        <v>1</v>
      </c>
    </row>
    <row r="329" spans="1:31" x14ac:dyDescent="0.25">
      <c r="A329" t="s">
        <v>138</v>
      </c>
      <c r="B329">
        <v>0</v>
      </c>
      <c r="K329">
        <f t="shared" si="261"/>
        <v>41</v>
      </c>
      <c r="L329">
        <f t="shared" ref="L329:T329" si="268">K329+1</f>
        <v>42</v>
      </c>
      <c r="M329">
        <f t="shared" si="268"/>
        <v>43</v>
      </c>
      <c r="N329">
        <f t="shared" si="268"/>
        <v>44</v>
      </c>
      <c r="O329">
        <f t="shared" si="268"/>
        <v>45</v>
      </c>
      <c r="P329">
        <f t="shared" si="268"/>
        <v>46</v>
      </c>
      <c r="Q329">
        <f t="shared" si="268"/>
        <v>47</v>
      </c>
      <c r="R329">
        <f t="shared" si="268"/>
        <v>48</v>
      </c>
      <c r="S329">
        <f t="shared" si="268"/>
        <v>49</v>
      </c>
      <c r="T329">
        <f t="shared" si="268"/>
        <v>50</v>
      </c>
      <c r="U329">
        <f t="shared" si="263"/>
        <v>41</v>
      </c>
      <c r="V329">
        <f t="shared" ref="V329:AD329" si="269">U329+1</f>
        <v>42</v>
      </c>
      <c r="W329">
        <f t="shared" si="269"/>
        <v>43</v>
      </c>
      <c r="X329">
        <f t="shared" si="269"/>
        <v>44</v>
      </c>
      <c r="Y329">
        <f t="shared" si="269"/>
        <v>45</v>
      </c>
      <c r="Z329">
        <f t="shared" si="269"/>
        <v>46</v>
      </c>
      <c r="AA329">
        <f t="shared" si="269"/>
        <v>47</v>
      </c>
      <c r="AB329">
        <f t="shared" si="269"/>
        <v>48</v>
      </c>
      <c r="AC329">
        <f t="shared" si="269"/>
        <v>49</v>
      </c>
      <c r="AD329">
        <f t="shared" si="269"/>
        <v>50</v>
      </c>
      <c r="AE329">
        <f t="shared" si="265"/>
        <v>1</v>
      </c>
    </row>
    <row r="330" spans="1:31" x14ac:dyDescent="0.25">
      <c r="A330" t="s">
        <v>139</v>
      </c>
      <c r="B330">
        <v>0</v>
      </c>
      <c r="K330">
        <f t="shared" si="261"/>
        <v>51</v>
      </c>
      <c r="L330">
        <f t="shared" ref="L330:T330" si="270">K330+1</f>
        <v>52</v>
      </c>
      <c r="M330">
        <f t="shared" si="270"/>
        <v>53</v>
      </c>
      <c r="N330">
        <f t="shared" si="270"/>
        <v>54</v>
      </c>
      <c r="O330">
        <f t="shared" si="270"/>
        <v>55</v>
      </c>
      <c r="P330">
        <f t="shared" si="270"/>
        <v>56</v>
      </c>
      <c r="Q330">
        <f t="shared" si="270"/>
        <v>57</v>
      </c>
      <c r="R330">
        <f t="shared" si="270"/>
        <v>58</v>
      </c>
      <c r="S330">
        <f t="shared" si="270"/>
        <v>59</v>
      </c>
      <c r="T330">
        <f t="shared" si="270"/>
        <v>60</v>
      </c>
      <c r="U330">
        <f t="shared" si="263"/>
        <v>51</v>
      </c>
      <c r="V330">
        <f t="shared" ref="V330:AD330" si="271">U330+1</f>
        <v>52</v>
      </c>
      <c r="W330">
        <f t="shared" si="271"/>
        <v>53</v>
      </c>
      <c r="X330">
        <f t="shared" si="271"/>
        <v>54</v>
      </c>
      <c r="Y330">
        <f t="shared" si="271"/>
        <v>55</v>
      </c>
      <c r="Z330">
        <f t="shared" si="271"/>
        <v>56</v>
      </c>
      <c r="AA330">
        <f t="shared" si="271"/>
        <v>57</v>
      </c>
      <c r="AB330">
        <f t="shared" si="271"/>
        <v>58</v>
      </c>
      <c r="AC330">
        <f t="shared" si="271"/>
        <v>59</v>
      </c>
      <c r="AD330">
        <f t="shared" si="271"/>
        <v>60</v>
      </c>
      <c r="AE330">
        <f t="shared" si="265"/>
        <v>1</v>
      </c>
    </row>
    <row r="331" spans="1:31" x14ac:dyDescent="0.25">
      <c r="A331" t="s">
        <v>140</v>
      </c>
      <c r="B331">
        <v>0</v>
      </c>
      <c r="K331">
        <f t="shared" si="261"/>
        <v>61</v>
      </c>
      <c r="L331">
        <f t="shared" ref="L331:T331" si="272">K331+1</f>
        <v>62</v>
      </c>
      <c r="M331">
        <f t="shared" si="272"/>
        <v>63</v>
      </c>
      <c r="N331">
        <f t="shared" si="272"/>
        <v>64</v>
      </c>
      <c r="O331">
        <f t="shared" si="272"/>
        <v>65</v>
      </c>
      <c r="P331">
        <f t="shared" si="272"/>
        <v>66</v>
      </c>
      <c r="Q331">
        <f t="shared" si="272"/>
        <v>67</v>
      </c>
      <c r="R331">
        <f t="shared" si="272"/>
        <v>68</v>
      </c>
      <c r="S331">
        <f t="shared" si="272"/>
        <v>69</v>
      </c>
      <c r="T331">
        <f t="shared" si="272"/>
        <v>70</v>
      </c>
      <c r="U331">
        <f t="shared" si="263"/>
        <v>61</v>
      </c>
      <c r="V331">
        <f t="shared" ref="V331:AD331" si="273">U331+1</f>
        <v>62</v>
      </c>
      <c r="W331">
        <f t="shared" si="273"/>
        <v>63</v>
      </c>
      <c r="X331">
        <f t="shared" si="273"/>
        <v>64</v>
      </c>
      <c r="Y331">
        <f t="shared" si="273"/>
        <v>65</v>
      </c>
      <c r="Z331">
        <f t="shared" si="273"/>
        <v>66</v>
      </c>
      <c r="AA331">
        <f t="shared" si="273"/>
        <v>67</v>
      </c>
      <c r="AB331">
        <f t="shared" si="273"/>
        <v>68</v>
      </c>
      <c r="AC331">
        <f t="shared" si="273"/>
        <v>69</v>
      </c>
      <c r="AD331">
        <f t="shared" si="273"/>
        <v>70</v>
      </c>
      <c r="AE331">
        <f t="shared" si="265"/>
        <v>1</v>
      </c>
    </row>
    <row r="332" spans="1:31" x14ac:dyDescent="0.25">
      <c r="A332" t="s">
        <v>141</v>
      </c>
      <c r="B332">
        <v>2</v>
      </c>
      <c r="K332">
        <f t="shared" si="261"/>
        <v>71</v>
      </c>
      <c r="L332">
        <f t="shared" ref="L332:T332" si="274">K332+1</f>
        <v>72</v>
      </c>
      <c r="M332">
        <f t="shared" si="274"/>
        <v>73</v>
      </c>
      <c r="N332">
        <f t="shared" si="274"/>
        <v>74</v>
      </c>
      <c r="O332">
        <f t="shared" si="274"/>
        <v>75</v>
      </c>
      <c r="P332">
        <f t="shared" si="274"/>
        <v>76</v>
      </c>
      <c r="Q332">
        <f t="shared" si="274"/>
        <v>77</v>
      </c>
      <c r="R332">
        <f t="shared" si="274"/>
        <v>78</v>
      </c>
      <c r="S332">
        <f t="shared" si="274"/>
        <v>79</v>
      </c>
      <c r="T332">
        <f t="shared" si="274"/>
        <v>80</v>
      </c>
      <c r="U332">
        <f t="shared" si="263"/>
        <v>71</v>
      </c>
      <c r="V332">
        <f t="shared" ref="V332:AD332" si="275">U332+1</f>
        <v>72</v>
      </c>
      <c r="W332">
        <f t="shared" si="275"/>
        <v>73</v>
      </c>
      <c r="X332">
        <f t="shared" si="275"/>
        <v>74</v>
      </c>
      <c r="Y332">
        <f t="shared" si="275"/>
        <v>75</v>
      </c>
      <c r="Z332">
        <f t="shared" si="275"/>
        <v>76</v>
      </c>
      <c r="AA332">
        <f t="shared" si="275"/>
        <v>77</v>
      </c>
      <c r="AB332">
        <f t="shared" si="275"/>
        <v>78</v>
      </c>
      <c r="AC332">
        <f t="shared" si="275"/>
        <v>79</v>
      </c>
      <c r="AD332">
        <f t="shared" si="275"/>
        <v>80</v>
      </c>
      <c r="AE332">
        <f t="shared" si="265"/>
        <v>1</v>
      </c>
    </row>
    <row r="333" spans="1:31" x14ac:dyDescent="0.25">
      <c r="A333" t="s">
        <v>142</v>
      </c>
      <c r="B333">
        <v>2</v>
      </c>
      <c r="K333">
        <f t="shared" si="261"/>
        <v>81</v>
      </c>
      <c r="L333">
        <f t="shared" ref="L333:T333" si="276">K333+1</f>
        <v>82</v>
      </c>
      <c r="M333">
        <f t="shared" si="276"/>
        <v>83</v>
      </c>
      <c r="N333">
        <f t="shared" si="276"/>
        <v>84</v>
      </c>
      <c r="O333">
        <f t="shared" si="276"/>
        <v>85</v>
      </c>
      <c r="P333">
        <f t="shared" si="276"/>
        <v>86</v>
      </c>
      <c r="Q333">
        <f t="shared" si="276"/>
        <v>87</v>
      </c>
      <c r="R333">
        <f t="shared" si="276"/>
        <v>88</v>
      </c>
      <c r="S333">
        <f t="shared" si="276"/>
        <v>89</v>
      </c>
      <c r="T333">
        <f t="shared" si="276"/>
        <v>90</v>
      </c>
      <c r="U333">
        <f t="shared" si="263"/>
        <v>81</v>
      </c>
      <c r="V333">
        <f t="shared" ref="V333:AD333" si="277">U333+1</f>
        <v>82</v>
      </c>
      <c r="W333">
        <f t="shared" si="277"/>
        <v>83</v>
      </c>
      <c r="X333">
        <f t="shared" si="277"/>
        <v>84</v>
      </c>
      <c r="Y333">
        <f t="shared" si="277"/>
        <v>85</v>
      </c>
      <c r="Z333">
        <f t="shared" si="277"/>
        <v>86</v>
      </c>
      <c r="AA333">
        <f t="shared" si="277"/>
        <v>87</v>
      </c>
      <c r="AB333">
        <f t="shared" si="277"/>
        <v>88</v>
      </c>
      <c r="AC333">
        <f t="shared" si="277"/>
        <v>89</v>
      </c>
      <c r="AD333">
        <f t="shared" si="277"/>
        <v>90</v>
      </c>
      <c r="AE333">
        <f t="shared" si="265"/>
        <v>1</v>
      </c>
    </row>
    <row r="334" spans="1:31" x14ac:dyDescent="0.25">
      <c r="A334" t="s">
        <v>143</v>
      </c>
      <c r="B334">
        <v>2</v>
      </c>
      <c r="K334">
        <f t="shared" si="261"/>
        <v>91</v>
      </c>
      <c r="L334">
        <f t="shared" ref="L334:T334" si="278">K334+1</f>
        <v>92</v>
      </c>
      <c r="M334">
        <f t="shared" si="278"/>
        <v>93</v>
      </c>
      <c r="N334">
        <f t="shared" si="278"/>
        <v>94</v>
      </c>
      <c r="O334">
        <f t="shared" si="278"/>
        <v>95</v>
      </c>
      <c r="P334">
        <f t="shared" si="278"/>
        <v>96</v>
      </c>
      <c r="Q334">
        <f t="shared" si="278"/>
        <v>97</v>
      </c>
      <c r="R334">
        <f t="shared" si="278"/>
        <v>98</v>
      </c>
      <c r="S334">
        <f t="shared" si="278"/>
        <v>99</v>
      </c>
      <c r="T334">
        <f t="shared" si="278"/>
        <v>100</v>
      </c>
      <c r="U334">
        <f t="shared" si="263"/>
        <v>91</v>
      </c>
      <c r="V334">
        <f t="shared" ref="V334:AD334" si="279">U334+1</f>
        <v>92</v>
      </c>
      <c r="W334">
        <f t="shared" si="279"/>
        <v>93</v>
      </c>
      <c r="X334">
        <f t="shared" si="279"/>
        <v>94</v>
      </c>
      <c r="Y334">
        <f t="shared" si="279"/>
        <v>95</v>
      </c>
      <c r="Z334">
        <f t="shared" si="279"/>
        <v>96</v>
      </c>
      <c r="AA334">
        <f t="shared" si="279"/>
        <v>97</v>
      </c>
      <c r="AB334">
        <f t="shared" si="279"/>
        <v>98</v>
      </c>
      <c r="AC334">
        <f t="shared" si="279"/>
        <v>99</v>
      </c>
      <c r="AD334">
        <f t="shared" si="279"/>
        <v>100</v>
      </c>
      <c r="AE334">
        <f t="shared" si="265"/>
        <v>1</v>
      </c>
    </row>
    <row r="335" spans="1:31" x14ac:dyDescent="0.25">
      <c r="A335" t="s">
        <v>124</v>
      </c>
      <c r="B335">
        <v>1</v>
      </c>
      <c r="K335">
        <f>T334+1</f>
        <v>101</v>
      </c>
      <c r="L335">
        <f>K335+1</f>
        <v>102</v>
      </c>
      <c r="M335">
        <f t="shared" ref="M335:R335" si="280">L335+1</f>
        <v>103</v>
      </c>
      <c r="N335">
        <f t="shared" si="280"/>
        <v>104</v>
      </c>
      <c r="O335">
        <f t="shared" si="280"/>
        <v>105</v>
      </c>
      <c r="P335">
        <f t="shared" si="280"/>
        <v>106</v>
      </c>
      <c r="Q335">
        <f t="shared" si="280"/>
        <v>107</v>
      </c>
      <c r="R335">
        <f t="shared" si="280"/>
        <v>108</v>
      </c>
      <c r="S335">
        <f>R335+1</f>
        <v>109</v>
      </c>
      <c r="T335">
        <f t="shared" ref="T335" si="281">S335+1</f>
        <v>110</v>
      </c>
      <c r="U335">
        <f t="shared" ref="U335:U371" si="282">AD334+1</f>
        <v>101</v>
      </c>
      <c r="V335">
        <f t="shared" ref="V335:AD335" si="283">U335+1</f>
        <v>102</v>
      </c>
      <c r="W335">
        <f t="shared" si="283"/>
        <v>103</v>
      </c>
      <c r="X335">
        <f t="shared" si="283"/>
        <v>104</v>
      </c>
      <c r="Y335">
        <f t="shared" si="283"/>
        <v>105</v>
      </c>
      <c r="Z335">
        <f t="shared" si="283"/>
        <v>106</v>
      </c>
      <c r="AA335">
        <f t="shared" si="283"/>
        <v>107</v>
      </c>
      <c r="AB335">
        <f t="shared" si="283"/>
        <v>108</v>
      </c>
      <c r="AC335">
        <f t="shared" si="283"/>
        <v>109</v>
      </c>
      <c r="AD335">
        <f t="shared" si="283"/>
        <v>110</v>
      </c>
      <c r="AE335">
        <f t="shared" si="265"/>
        <v>1</v>
      </c>
    </row>
    <row r="336" spans="1:31" x14ac:dyDescent="0.25">
      <c r="A336" t="s">
        <v>126</v>
      </c>
      <c r="B336">
        <v>1</v>
      </c>
      <c r="C336">
        <v>-1</v>
      </c>
      <c r="D336">
        <v>1</v>
      </c>
      <c r="E336">
        <v>-1</v>
      </c>
      <c r="F336">
        <v>1</v>
      </c>
      <c r="G336">
        <v>-1</v>
      </c>
      <c r="H336">
        <v>1</v>
      </c>
      <c r="I336">
        <v>-1</v>
      </c>
      <c r="K336">
        <f>T335+1</f>
        <v>111</v>
      </c>
      <c r="L336">
        <f>K336+1</f>
        <v>112</v>
      </c>
      <c r="M336">
        <f t="shared" ref="M336:T336" si="284">L336+1</f>
        <v>113</v>
      </c>
      <c r="N336">
        <f t="shared" si="284"/>
        <v>114</v>
      </c>
      <c r="O336">
        <f t="shared" si="284"/>
        <v>115</v>
      </c>
      <c r="P336">
        <f t="shared" si="284"/>
        <v>116</v>
      </c>
      <c r="Q336">
        <f t="shared" si="284"/>
        <v>117</v>
      </c>
      <c r="R336">
        <f t="shared" si="284"/>
        <v>118</v>
      </c>
      <c r="S336">
        <f t="shared" si="284"/>
        <v>119</v>
      </c>
      <c r="T336">
        <f t="shared" si="284"/>
        <v>120</v>
      </c>
      <c r="U336">
        <f t="shared" si="282"/>
        <v>111</v>
      </c>
      <c r="V336">
        <f t="shared" ref="V336:AD336" si="285">U336+1</f>
        <v>112</v>
      </c>
      <c r="W336">
        <f t="shared" si="285"/>
        <v>113</v>
      </c>
      <c r="X336">
        <f t="shared" si="285"/>
        <v>114</v>
      </c>
      <c r="Y336">
        <f t="shared" si="285"/>
        <v>115</v>
      </c>
      <c r="Z336">
        <f t="shared" si="285"/>
        <v>116</v>
      </c>
      <c r="AA336">
        <f t="shared" si="285"/>
        <v>117</v>
      </c>
      <c r="AB336">
        <f t="shared" si="285"/>
        <v>118</v>
      </c>
      <c r="AC336">
        <f t="shared" si="285"/>
        <v>119</v>
      </c>
      <c r="AD336">
        <f t="shared" si="285"/>
        <v>120</v>
      </c>
      <c r="AE336">
        <f t="shared" si="265"/>
        <v>1</v>
      </c>
    </row>
    <row r="337" spans="1:31" x14ac:dyDescent="0.25">
      <c r="A337" t="s">
        <v>125</v>
      </c>
      <c r="B337">
        <v>1</v>
      </c>
      <c r="C337">
        <v>1</v>
      </c>
      <c r="D337">
        <v>-1</v>
      </c>
      <c r="E337">
        <v>-1</v>
      </c>
      <c r="F337">
        <v>1</v>
      </c>
      <c r="G337">
        <v>1</v>
      </c>
      <c r="H337">
        <v>-1</v>
      </c>
      <c r="I337">
        <v>-1</v>
      </c>
      <c r="K337">
        <f t="shared" ref="K337:K344" si="286">T336+1</f>
        <v>121</v>
      </c>
      <c r="L337">
        <f t="shared" ref="L337:T337" si="287">K337+1</f>
        <v>122</v>
      </c>
      <c r="M337">
        <f t="shared" si="287"/>
        <v>123</v>
      </c>
      <c r="N337">
        <f t="shared" si="287"/>
        <v>124</v>
      </c>
      <c r="O337">
        <f t="shared" si="287"/>
        <v>125</v>
      </c>
      <c r="P337">
        <f t="shared" si="287"/>
        <v>126</v>
      </c>
      <c r="Q337">
        <f t="shared" si="287"/>
        <v>127</v>
      </c>
      <c r="R337">
        <f t="shared" si="287"/>
        <v>128</v>
      </c>
      <c r="S337">
        <f t="shared" si="287"/>
        <v>129</v>
      </c>
      <c r="T337">
        <f t="shared" si="287"/>
        <v>130</v>
      </c>
      <c r="U337">
        <f t="shared" si="282"/>
        <v>121</v>
      </c>
      <c r="V337">
        <f t="shared" ref="V337:AD337" si="288">U337+1</f>
        <v>122</v>
      </c>
      <c r="W337">
        <f t="shared" si="288"/>
        <v>123</v>
      </c>
      <c r="X337">
        <f t="shared" si="288"/>
        <v>124</v>
      </c>
      <c r="Y337">
        <f t="shared" si="288"/>
        <v>125</v>
      </c>
      <c r="Z337">
        <f t="shared" si="288"/>
        <v>126</v>
      </c>
      <c r="AA337">
        <f t="shared" si="288"/>
        <v>127</v>
      </c>
      <c r="AB337">
        <f t="shared" si="288"/>
        <v>128</v>
      </c>
      <c r="AC337">
        <f t="shared" si="288"/>
        <v>129</v>
      </c>
      <c r="AD337">
        <f t="shared" si="288"/>
        <v>130</v>
      </c>
      <c r="AE337">
        <f t="shared" si="265"/>
        <v>1</v>
      </c>
    </row>
    <row r="338" spans="1:31" x14ac:dyDescent="0.25">
      <c r="A338" t="s">
        <v>127</v>
      </c>
      <c r="B338">
        <v>1</v>
      </c>
      <c r="C338">
        <v>1</v>
      </c>
      <c r="D338">
        <v>1</v>
      </c>
      <c r="E338">
        <v>1</v>
      </c>
      <c r="F338">
        <v>-1</v>
      </c>
      <c r="G338">
        <v>-1</v>
      </c>
      <c r="H338">
        <v>-1</v>
      </c>
      <c r="I338">
        <v>-1</v>
      </c>
      <c r="K338">
        <f t="shared" si="286"/>
        <v>131</v>
      </c>
      <c r="L338">
        <f t="shared" ref="L338:T338" si="289">K338+1</f>
        <v>132</v>
      </c>
      <c r="M338">
        <f t="shared" si="289"/>
        <v>133</v>
      </c>
      <c r="N338">
        <f t="shared" si="289"/>
        <v>134</v>
      </c>
      <c r="O338">
        <f t="shared" si="289"/>
        <v>135</v>
      </c>
      <c r="P338">
        <f t="shared" si="289"/>
        <v>136</v>
      </c>
      <c r="Q338">
        <f t="shared" si="289"/>
        <v>137</v>
      </c>
      <c r="R338">
        <f t="shared" si="289"/>
        <v>138</v>
      </c>
      <c r="S338">
        <f t="shared" si="289"/>
        <v>139</v>
      </c>
      <c r="T338">
        <f t="shared" si="289"/>
        <v>140</v>
      </c>
      <c r="U338">
        <f t="shared" si="282"/>
        <v>131</v>
      </c>
      <c r="V338">
        <f t="shared" ref="V338:AD338" si="290">U338+1</f>
        <v>132</v>
      </c>
      <c r="W338">
        <f t="shared" si="290"/>
        <v>133</v>
      </c>
      <c r="X338">
        <f t="shared" si="290"/>
        <v>134</v>
      </c>
      <c r="Y338">
        <f t="shared" si="290"/>
        <v>135</v>
      </c>
      <c r="Z338">
        <f t="shared" si="290"/>
        <v>136</v>
      </c>
      <c r="AA338">
        <f t="shared" si="290"/>
        <v>137</v>
      </c>
      <c r="AB338">
        <f t="shared" si="290"/>
        <v>138</v>
      </c>
      <c r="AC338">
        <f t="shared" si="290"/>
        <v>139</v>
      </c>
      <c r="AD338">
        <f t="shared" si="290"/>
        <v>140</v>
      </c>
      <c r="AE338">
        <f t="shared" si="265"/>
        <v>1</v>
      </c>
    </row>
    <row r="339" spans="1:31" x14ac:dyDescent="0.25">
      <c r="A339" t="s">
        <v>166</v>
      </c>
      <c r="B339">
        <f>B336-$B$332</f>
        <v>-1</v>
      </c>
      <c r="C339">
        <f t="shared" ref="C339:I339" si="291">C336-$B$332</f>
        <v>-3</v>
      </c>
      <c r="D339">
        <f t="shared" si="291"/>
        <v>-1</v>
      </c>
      <c r="E339">
        <f t="shared" si="291"/>
        <v>-3</v>
      </c>
      <c r="F339">
        <f t="shared" si="291"/>
        <v>-1</v>
      </c>
      <c r="G339">
        <f t="shared" si="291"/>
        <v>-3</v>
      </c>
      <c r="H339">
        <f t="shared" si="291"/>
        <v>-1</v>
      </c>
      <c r="I339">
        <f t="shared" si="291"/>
        <v>-3</v>
      </c>
      <c r="K339">
        <f t="shared" si="286"/>
        <v>141</v>
      </c>
      <c r="L339">
        <f t="shared" ref="L339:T339" si="292">K339+1</f>
        <v>142</v>
      </c>
      <c r="M339">
        <f t="shared" si="292"/>
        <v>143</v>
      </c>
      <c r="N339">
        <f t="shared" si="292"/>
        <v>144</v>
      </c>
      <c r="O339">
        <f t="shared" si="292"/>
        <v>145</v>
      </c>
      <c r="P339">
        <f t="shared" si="292"/>
        <v>146</v>
      </c>
      <c r="Q339">
        <f t="shared" si="292"/>
        <v>147</v>
      </c>
      <c r="R339">
        <f t="shared" si="292"/>
        <v>148</v>
      </c>
      <c r="S339">
        <f t="shared" si="292"/>
        <v>149</v>
      </c>
      <c r="T339">
        <f t="shared" si="292"/>
        <v>150</v>
      </c>
      <c r="U339">
        <f t="shared" si="282"/>
        <v>141</v>
      </c>
      <c r="V339">
        <f t="shared" ref="V339:AD339" si="293">U339+1</f>
        <v>142</v>
      </c>
      <c r="W339">
        <f t="shared" si="293"/>
        <v>143</v>
      </c>
      <c r="X339">
        <f t="shared" si="293"/>
        <v>144</v>
      </c>
      <c r="Y339">
        <f t="shared" si="293"/>
        <v>145</v>
      </c>
      <c r="Z339">
        <f t="shared" si="293"/>
        <v>146</v>
      </c>
      <c r="AA339">
        <f t="shared" si="293"/>
        <v>147</v>
      </c>
      <c r="AB339">
        <f t="shared" si="293"/>
        <v>148</v>
      </c>
      <c r="AC339">
        <f t="shared" si="293"/>
        <v>149</v>
      </c>
      <c r="AD339">
        <f t="shared" si="293"/>
        <v>150</v>
      </c>
      <c r="AE339">
        <f t="shared" si="265"/>
        <v>1</v>
      </c>
    </row>
    <row r="340" spans="1:31" x14ac:dyDescent="0.25">
      <c r="A340" t="s">
        <v>165</v>
      </c>
      <c r="B340">
        <f>B337-$B$333</f>
        <v>-1</v>
      </c>
      <c r="C340">
        <f t="shared" ref="C340:I340" si="294">C337-$B$333</f>
        <v>-1</v>
      </c>
      <c r="D340">
        <f t="shared" si="294"/>
        <v>-3</v>
      </c>
      <c r="E340">
        <f t="shared" si="294"/>
        <v>-3</v>
      </c>
      <c r="F340">
        <f t="shared" si="294"/>
        <v>-1</v>
      </c>
      <c r="G340">
        <f t="shared" si="294"/>
        <v>-1</v>
      </c>
      <c r="H340">
        <f t="shared" si="294"/>
        <v>-3</v>
      </c>
      <c r="I340">
        <f t="shared" si="294"/>
        <v>-3</v>
      </c>
      <c r="K340">
        <f t="shared" si="286"/>
        <v>151</v>
      </c>
      <c r="L340">
        <f t="shared" ref="L340:T340" si="295">K340+1</f>
        <v>152</v>
      </c>
      <c r="M340">
        <f t="shared" si="295"/>
        <v>153</v>
      </c>
      <c r="N340">
        <f t="shared" si="295"/>
        <v>154</v>
      </c>
      <c r="O340">
        <f t="shared" si="295"/>
        <v>155</v>
      </c>
      <c r="P340">
        <f t="shared" si="295"/>
        <v>156</v>
      </c>
      <c r="Q340">
        <f t="shared" si="295"/>
        <v>157</v>
      </c>
      <c r="R340">
        <f t="shared" si="295"/>
        <v>158</v>
      </c>
      <c r="S340">
        <f t="shared" si="295"/>
        <v>159</v>
      </c>
      <c r="T340">
        <f t="shared" si="295"/>
        <v>160</v>
      </c>
      <c r="U340">
        <f t="shared" si="282"/>
        <v>151</v>
      </c>
      <c r="V340">
        <f t="shared" ref="V340:AD340" si="296">U340+1</f>
        <v>152</v>
      </c>
      <c r="W340">
        <f t="shared" si="296"/>
        <v>153</v>
      </c>
      <c r="X340">
        <f t="shared" si="296"/>
        <v>154</v>
      </c>
      <c r="Y340">
        <f t="shared" si="296"/>
        <v>155</v>
      </c>
      <c r="Z340">
        <f t="shared" si="296"/>
        <v>156</v>
      </c>
      <c r="AA340">
        <f t="shared" si="296"/>
        <v>157</v>
      </c>
      <c r="AB340">
        <f t="shared" si="296"/>
        <v>158</v>
      </c>
      <c r="AC340">
        <f t="shared" si="296"/>
        <v>159</v>
      </c>
      <c r="AD340">
        <f t="shared" si="296"/>
        <v>160</v>
      </c>
      <c r="AE340">
        <f t="shared" si="265"/>
        <v>1</v>
      </c>
    </row>
    <row r="341" spans="1:31" x14ac:dyDescent="0.25">
      <c r="A341" t="s">
        <v>164</v>
      </c>
      <c r="B341">
        <f>B338-$B$334</f>
        <v>-1</v>
      </c>
      <c r="C341">
        <f t="shared" ref="C341:I341" si="297">C338-$B$334</f>
        <v>-1</v>
      </c>
      <c r="D341">
        <f t="shared" si="297"/>
        <v>-1</v>
      </c>
      <c r="E341">
        <f t="shared" si="297"/>
        <v>-1</v>
      </c>
      <c r="F341">
        <f t="shared" si="297"/>
        <v>-3</v>
      </c>
      <c r="G341">
        <f t="shared" si="297"/>
        <v>-3</v>
      </c>
      <c r="H341">
        <f t="shared" si="297"/>
        <v>-3</v>
      </c>
      <c r="I341">
        <f t="shared" si="297"/>
        <v>-3</v>
      </c>
      <c r="K341">
        <f t="shared" si="286"/>
        <v>161</v>
      </c>
      <c r="L341">
        <f t="shared" ref="L341:T341" si="298">K341+1</f>
        <v>162</v>
      </c>
      <c r="M341">
        <f t="shared" si="298"/>
        <v>163</v>
      </c>
      <c r="N341">
        <f t="shared" si="298"/>
        <v>164</v>
      </c>
      <c r="O341">
        <f t="shared" si="298"/>
        <v>165</v>
      </c>
      <c r="P341">
        <f t="shared" si="298"/>
        <v>166</v>
      </c>
      <c r="Q341">
        <f t="shared" si="298"/>
        <v>167</v>
      </c>
      <c r="R341">
        <f t="shared" si="298"/>
        <v>168</v>
      </c>
      <c r="S341">
        <f t="shared" si="298"/>
        <v>169</v>
      </c>
      <c r="T341">
        <f t="shared" si="298"/>
        <v>170</v>
      </c>
      <c r="U341">
        <f t="shared" si="282"/>
        <v>161</v>
      </c>
      <c r="V341">
        <f t="shared" ref="V341:AD341" si="299">U341+1</f>
        <v>162</v>
      </c>
      <c r="W341">
        <f t="shared" si="299"/>
        <v>163</v>
      </c>
      <c r="X341">
        <f t="shared" si="299"/>
        <v>164</v>
      </c>
      <c r="Y341">
        <f t="shared" si="299"/>
        <v>165</v>
      </c>
      <c r="Z341">
        <f t="shared" si="299"/>
        <v>166</v>
      </c>
      <c r="AA341">
        <f t="shared" si="299"/>
        <v>167</v>
      </c>
      <c r="AB341">
        <f t="shared" si="299"/>
        <v>168</v>
      </c>
      <c r="AC341">
        <f t="shared" si="299"/>
        <v>169</v>
      </c>
      <c r="AD341">
        <f t="shared" si="299"/>
        <v>170</v>
      </c>
      <c r="AE341">
        <f t="shared" si="265"/>
        <v>1</v>
      </c>
    </row>
    <row r="342" spans="1:31" x14ac:dyDescent="0.25">
      <c r="A342" t="s">
        <v>163</v>
      </c>
      <c r="B342">
        <f>SIN(RADIANS($B$329))*B340</f>
        <v>0</v>
      </c>
      <c r="C342">
        <f t="shared" ref="C342:I342" si="300">SIN(RADIANS($B$329))*C340</f>
        <v>0</v>
      </c>
      <c r="D342">
        <f t="shared" si="300"/>
        <v>0</v>
      </c>
      <c r="E342">
        <f t="shared" si="300"/>
        <v>0</v>
      </c>
      <c r="F342">
        <f t="shared" si="300"/>
        <v>0</v>
      </c>
      <c r="G342">
        <f t="shared" si="300"/>
        <v>0</v>
      </c>
      <c r="H342">
        <f t="shared" si="300"/>
        <v>0</v>
      </c>
      <c r="I342">
        <f t="shared" si="300"/>
        <v>0</v>
      </c>
      <c r="K342">
        <f t="shared" si="286"/>
        <v>171</v>
      </c>
      <c r="L342">
        <f t="shared" ref="L342:T342" si="301">K342+1</f>
        <v>172</v>
      </c>
      <c r="M342">
        <f t="shared" si="301"/>
        <v>173</v>
      </c>
      <c r="N342">
        <f t="shared" si="301"/>
        <v>174</v>
      </c>
      <c r="O342">
        <f t="shared" si="301"/>
        <v>175</v>
      </c>
      <c r="P342">
        <f t="shared" si="301"/>
        <v>176</v>
      </c>
      <c r="Q342">
        <f t="shared" si="301"/>
        <v>177</v>
      </c>
      <c r="R342">
        <f t="shared" si="301"/>
        <v>178</v>
      </c>
      <c r="S342">
        <f t="shared" si="301"/>
        <v>179</v>
      </c>
      <c r="T342">
        <f t="shared" si="301"/>
        <v>180</v>
      </c>
      <c r="U342">
        <f t="shared" si="282"/>
        <v>171</v>
      </c>
      <c r="V342">
        <f t="shared" ref="V342:AD342" si="302">U342+1</f>
        <v>172</v>
      </c>
      <c r="W342">
        <f t="shared" si="302"/>
        <v>173</v>
      </c>
      <c r="X342">
        <f t="shared" si="302"/>
        <v>174</v>
      </c>
      <c r="Y342">
        <f t="shared" si="302"/>
        <v>175</v>
      </c>
      <c r="Z342">
        <f t="shared" si="302"/>
        <v>176</v>
      </c>
      <c r="AA342">
        <f t="shared" si="302"/>
        <v>177</v>
      </c>
      <c r="AB342">
        <f t="shared" si="302"/>
        <v>178</v>
      </c>
      <c r="AC342">
        <f t="shared" si="302"/>
        <v>179</v>
      </c>
      <c r="AD342">
        <f t="shared" si="302"/>
        <v>180</v>
      </c>
      <c r="AE342">
        <f t="shared" si="265"/>
        <v>1</v>
      </c>
    </row>
    <row r="343" spans="1:31" x14ac:dyDescent="0.25">
      <c r="A343" t="s">
        <v>162</v>
      </c>
      <c r="B343">
        <f>COS(RADIANS($B$329))*B341</f>
        <v>-1</v>
      </c>
      <c r="C343">
        <f t="shared" ref="C343:I343" si="303">COS(RADIANS($B$329))*C341</f>
        <v>-1</v>
      </c>
      <c r="D343">
        <f t="shared" si="303"/>
        <v>-1</v>
      </c>
      <c r="E343">
        <f t="shared" si="303"/>
        <v>-1</v>
      </c>
      <c r="F343">
        <f t="shared" si="303"/>
        <v>-3</v>
      </c>
      <c r="G343">
        <f t="shared" si="303"/>
        <v>-3</v>
      </c>
      <c r="H343">
        <f t="shared" si="303"/>
        <v>-3</v>
      </c>
      <c r="I343">
        <f t="shared" si="303"/>
        <v>-3</v>
      </c>
      <c r="K343">
        <f t="shared" si="286"/>
        <v>181</v>
      </c>
      <c r="L343">
        <f t="shared" ref="L343:T343" si="304">K343+1</f>
        <v>182</v>
      </c>
      <c r="M343">
        <f t="shared" si="304"/>
        <v>183</v>
      </c>
      <c r="N343">
        <f t="shared" si="304"/>
        <v>184</v>
      </c>
      <c r="O343">
        <f t="shared" si="304"/>
        <v>185</v>
      </c>
      <c r="P343">
        <f t="shared" si="304"/>
        <v>186</v>
      </c>
      <c r="Q343">
        <f t="shared" si="304"/>
        <v>187</v>
      </c>
      <c r="R343">
        <f t="shared" si="304"/>
        <v>188</v>
      </c>
      <c r="S343">
        <f t="shared" si="304"/>
        <v>189</v>
      </c>
      <c r="T343">
        <f t="shared" si="304"/>
        <v>190</v>
      </c>
      <c r="U343">
        <f t="shared" si="282"/>
        <v>181</v>
      </c>
      <c r="V343">
        <f t="shared" ref="V343:AD343" si="305">U343+1</f>
        <v>182</v>
      </c>
      <c r="W343">
        <f t="shared" si="305"/>
        <v>183</v>
      </c>
      <c r="X343">
        <f t="shared" si="305"/>
        <v>184</v>
      </c>
      <c r="Y343">
        <f t="shared" si="305"/>
        <v>185</v>
      </c>
      <c r="Z343">
        <f t="shared" si="305"/>
        <v>186</v>
      </c>
      <c r="AA343">
        <f t="shared" si="305"/>
        <v>187</v>
      </c>
      <c r="AB343">
        <f t="shared" si="305"/>
        <v>188</v>
      </c>
      <c r="AC343">
        <f t="shared" si="305"/>
        <v>189</v>
      </c>
      <c r="AD343">
        <f t="shared" si="305"/>
        <v>190</v>
      </c>
      <c r="AE343">
        <f t="shared" si="265"/>
        <v>1</v>
      </c>
    </row>
    <row r="344" spans="1:31" x14ac:dyDescent="0.25">
      <c r="A344" t="s">
        <v>161</v>
      </c>
      <c r="B344">
        <f>SIN(RADIANS($B$330))*B341</f>
        <v>0</v>
      </c>
      <c r="C344">
        <f t="shared" ref="C344:I344" si="306">SIN(RADIANS($B$330))*C341</f>
        <v>0</v>
      </c>
      <c r="D344">
        <f t="shared" si="306"/>
        <v>0</v>
      </c>
      <c r="E344">
        <f t="shared" si="306"/>
        <v>0</v>
      </c>
      <c r="F344">
        <f t="shared" si="306"/>
        <v>0</v>
      </c>
      <c r="G344">
        <f t="shared" si="306"/>
        <v>0</v>
      </c>
      <c r="H344">
        <f t="shared" si="306"/>
        <v>0</v>
      </c>
      <c r="I344">
        <f t="shared" si="306"/>
        <v>0</v>
      </c>
      <c r="K344">
        <f t="shared" si="286"/>
        <v>191</v>
      </c>
      <c r="L344">
        <f t="shared" ref="L344:T344" si="307">K344+1</f>
        <v>192</v>
      </c>
      <c r="M344">
        <f t="shared" si="307"/>
        <v>193</v>
      </c>
      <c r="N344">
        <f t="shared" si="307"/>
        <v>194</v>
      </c>
      <c r="O344">
        <f t="shared" si="307"/>
        <v>195</v>
      </c>
      <c r="P344">
        <f t="shared" si="307"/>
        <v>196</v>
      </c>
      <c r="Q344">
        <f t="shared" si="307"/>
        <v>197</v>
      </c>
      <c r="R344">
        <f t="shared" si="307"/>
        <v>198</v>
      </c>
      <c r="S344">
        <f t="shared" si="307"/>
        <v>199</v>
      </c>
      <c r="T344">
        <f t="shared" si="307"/>
        <v>200</v>
      </c>
      <c r="U344">
        <f t="shared" si="282"/>
        <v>191</v>
      </c>
      <c r="V344">
        <f t="shared" ref="V344:AD344" si="308">U344+1</f>
        <v>192</v>
      </c>
      <c r="W344">
        <f t="shared" si="308"/>
        <v>193</v>
      </c>
      <c r="X344">
        <f t="shared" si="308"/>
        <v>194</v>
      </c>
      <c r="Y344">
        <f t="shared" si="308"/>
        <v>195</v>
      </c>
      <c r="Z344">
        <f t="shared" si="308"/>
        <v>196</v>
      </c>
      <c r="AA344">
        <f t="shared" si="308"/>
        <v>197</v>
      </c>
      <c r="AB344">
        <f t="shared" si="308"/>
        <v>198</v>
      </c>
      <c r="AC344">
        <f t="shared" si="308"/>
        <v>199</v>
      </c>
      <c r="AD344">
        <f t="shared" si="308"/>
        <v>200</v>
      </c>
      <c r="AE344">
        <f t="shared" si="265"/>
        <v>1</v>
      </c>
    </row>
    <row r="345" spans="1:31" x14ac:dyDescent="0.25">
      <c r="A345" t="s">
        <v>160</v>
      </c>
      <c r="B345">
        <f>COS(RADIANS($B$330))*B339</f>
        <v>-1</v>
      </c>
      <c r="C345">
        <f t="shared" ref="C345:I345" si="309">COS(RADIANS($B$330))*C339</f>
        <v>-3</v>
      </c>
      <c r="D345">
        <f t="shared" si="309"/>
        <v>-1</v>
      </c>
      <c r="E345">
        <f t="shared" si="309"/>
        <v>-3</v>
      </c>
      <c r="F345">
        <f t="shared" si="309"/>
        <v>-1</v>
      </c>
      <c r="G345">
        <f t="shared" si="309"/>
        <v>-3</v>
      </c>
      <c r="H345">
        <f t="shared" si="309"/>
        <v>-1</v>
      </c>
      <c r="I345">
        <f t="shared" si="309"/>
        <v>-3</v>
      </c>
      <c r="K345">
        <f>T344+1</f>
        <v>201</v>
      </c>
      <c r="L345">
        <f>K345+1</f>
        <v>202</v>
      </c>
      <c r="M345">
        <f t="shared" ref="M345:R345" si="310">L345+1</f>
        <v>203</v>
      </c>
      <c r="N345">
        <f t="shared" si="310"/>
        <v>204</v>
      </c>
      <c r="O345">
        <f t="shared" si="310"/>
        <v>205</v>
      </c>
      <c r="P345">
        <f t="shared" si="310"/>
        <v>206</v>
      </c>
      <c r="Q345">
        <f t="shared" si="310"/>
        <v>207</v>
      </c>
      <c r="R345">
        <f t="shared" si="310"/>
        <v>208</v>
      </c>
      <c r="S345">
        <f>R345+1</f>
        <v>209</v>
      </c>
      <c r="T345">
        <f t="shared" ref="T345" si="311">S345+1</f>
        <v>210</v>
      </c>
      <c r="U345">
        <f t="shared" si="282"/>
        <v>201</v>
      </c>
      <c r="V345">
        <f t="shared" ref="V345:AD345" si="312">U345+1</f>
        <v>202</v>
      </c>
      <c r="W345">
        <f t="shared" si="312"/>
        <v>203</v>
      </c>
      <c r="X345">
        <f t="shared" si="312"/>
        <v>204</v>
      </c>
      <c r="Y345">
        <f t="shared" si="312"/>
        <v>205</v>
      </c>
      <c r="Z345">
        <f t="shared" si="312"/>
        <v>206</v>
      </c>
      <c r="AA345">
        <f t="shared" si="312"/>
        <v>207</v>
      </c>
      <c r="AB345">
        <f t="shared" si="312"/>
        <v>208</v>
      </c>
      <c r="AC345">
        <f t="shared" si="312"/>
        <v>209</v>
      </c>
      <c r="AD345">
        <f t="shared" si="312"/>
        <v>210</v>
      </c>
      <c r="AE345">
        <f t="shared" si="265"/>
        <v>1</v>
      </c>
    </row>
    <row r="346" spans="1:31" x14ac:dyDescent="0.25">
      <c r="A346" t="s">
        <v>155</v>
      </c>
      <c r="B346">
        <f>SIN(RADIANS($B$331))*B339</f>
        <v>0</v>
      </c>
      <c r="C346">
        <f t="shared" ref="C346:I346" si="313">SIN(RADIANS($B$331))*C339</f>
        <v>0</v>
      </c>
      <c r="D346">
        <f t="shared" si="313"/>
        <v>0</v>
      </c>
      <c r="E346">
        <f t="shared" si="313"/>
        <v>0</v>
      </c>
      <c r="F346">
        <f t="shared" si="313"/>
        <v>0</v>
      </c>
      <c r="G346">
        <f t="shared" si="313"/>
        <v>0</v>
      </c>
      <c r="H346">
        <f t="shared" si="313"/>
        <v>0</v>
      </c>
      <c r="I346">
        <f t="shared" si="313"/>
        <v>0</v>
      </c>
      <c r="K346">
        <f>T345+1</f>
        <v>211</v>
      </c>
      <c r="L346">
        <f>K346+1</f>
        <v>212</v>
      </c>
      <c r="M346">
        <f t="shared" ref="M346:T346" si="314">L346+1</f>
        <v>213</v>
      </c>
      <c r="N346">
        <f t="shared" si="314"/>
        <v>214</v>
      </c>
      <c r="O346">
        <f t="shared" si="314"/>
        <v>215</v>
      </c>
      <c r="P346">
        <f t="shared" si="314"/>
        <v>216</v>
      </c>
      <c r="Q346">
        <f t="shared" si="314"/>
        <v>217</v>
      </c>
      <c r="R346">
        <f t="shared" si="314"/>
        <v>218</v>
      </c>
      <c r="S346">
        <f t="shared" si="314"/>
        <v>219</v>
      </c>
      <c r="T346">
        <f t="shared" si="314"/>
        <v>220</v>
      </c>
      <c r="U346">
        <f t="shared" si="282"/>
        <v>211</v>
      </c>
      <c r="V346">
        <f t="shared" ref="V346:AD346" si="315">U346+1</f>
        <v>212</v>
      </c>
      <c r="W346">
        <f t="shared" si="315"/>
        <v>213</v>
      </c>
      <c r="X346">
        <f t="shared" si="315"/>
        <v>214</v>
      </c>
      <c r="Y346">
        <f t="shared" si="315"/>
        <v>215</v>
      </c>
      <c r="Z346">
        <f t="shared" si="315"/>
        <v>216</v>
      </c>
      <c r="AA346">
        <f t="shared" si="315"/>
        <v>217</v>
      </c>
      <c r="AB346">
        <f t="shared" si="315"/>
        <v>218</v>
      </c>
      <c r="AC346">
        <f t="shared" si="315"/>
        <v>219</v>
      </c>
      <c r="AD346">
        <f t="shared" si="315"/>
        <v>220</v>
      </c>
      <c r="AE346">
        <f t="shared" si="265"/>
        <v>1</v>
      </c>
    </row>
    <row r="347" spans="1:31" x14ac:dyDescent="0.25">
      <c r="A347" t="s">
        <v>156</v>
      </c>
      <c r="B347">
        <f>COS(RADIANS($B$331))*B340</f>
        <v>-1</v>
      </c>
      <c r="C347">
        <f t="shared" ref="C347:I347" si="316">COS(RADIANS($B$331))*C340</f>
        <v>-1</v>
      </c>
      <c r="D347">
        <f t="shared" si="316"/>
        <v>-3</v>
      </c>
      <c r="E347">
        <f t="shared" si="316"/>
        <v>-3</v>
      </c>
      <c r="F347">
        <f t="shared" si="316"/>
        <v>-1</v>
      </c>
      <c r="G347">
        <f t="shared" si="316"/>
        <v>-1</v>
      </c>
      <c r="H347">
        <f t="shared" si="316"/>
        <v>-3</v>
      </c>
      <c r="I347">
        <f t="shared" si="316"/>
        <v>-3</v>
      </c>
      <c r="K347">
        <f t="shared" ref="K347:K354" si="317">T346+1</f>
        <v>221</v>
      </c>
      <c r="L347">
        <f t="shared" ref="L347:T347" si="318">K347+1</f>
        <v>222</v>
      </c>
      <c r="M347">
        <f t="shared" si="318"/>
        <v>223</v>
      </c>
      <c r="N347">
        <f t="shared" si="318"/>
        <v>224</v>
      </c>
      <c r="O347">
        <f t="shared" si="318"/>
        <v>225</v>
      </c>
      <c r="P347">
        <f t="shared" si="318"/>
        <v>226</v>
      </c>
      <c r="Q347">
        <f t="shared" si="318"/>
        <v>227</v>
      </c>
      <c r="R347">
        <f t="shared" si="318"/>
        <v>228</v>
      </c>
      <c r="S347">
        <f t="shared" si="318"/>
        <v>229</v>
      </c>
      <c r="T347">
        <f t="shared" si="318"/>
        <v>230</v>
      </c>
      <c r="U347">
        <f t="shared" si="282"/>
        <v>221</v>
      </c>
      <c r="V347">
        <f t="shared" ref="V347:AD347" si="319">U347+1</f>
        <v>222</v>
      </c>
      <c r="W347">
        <f t="shared" si="319"/>
        <v>223</v>
      </c>
      <c r="X347">
        <f t="shared" si="319"/>
        <v>224</v>
      </c>
      <c r="Y347">
        <f t="shared" si="319"/>
        <v>225</v>
      </c>
      <c r="Z347">
        <f t="shared" si="319"/>
        <v>226</v>
      </c>
      <c r="AA347">
        <f t="shared" si="319"/>
        <v>227</v>
      </c>
      <c r="AB347">
        <f t="shared" si="319"/>
        <v>228</v>
      </c>
      <c r="AC347">
        <f t="shared" si="319"/>
        <v>229</v>
      </c>
      <c r="AD347">
        <f t="shared" si="319"/>
        <v>230</v>
      </c>
      <c r="AE347">
        <f t="shared" si="265"/>
        <v>1</v>
      </c>
    </row>
    <row r="348" spans="1:31" x14ac:dyDescent="0.25">
      <c r="A348" t="s">
        <v>152</v>
      </c>
      <c r="B348">
        <f>B336*B345+B336*B346</f>
        <v>-1</v>
      </c>
      <c r="C348">
        <f t="shared" ref="C348:I348" si="320">C336*C345+C336*C346</f>
        <v>3</v>
      </c>
      <c r="D348">
        <f t="shared" si="320"/>
        <v>-1</v>
      </c>
      <c r="E348">
        <f t="shared" si="320"/>
        <v>3</v>
      </c>
      <c r="F348">
        <f t="shared" si="320"/>
        <v>-1</v>
      </c>
      <c r="G348">
        <f t="shared" si="320"/>
        <v>3</v>
      </c>
      <c r="H348">
        <f t="shared" si="320"/>
        <v>-1</v>
      </c>
      <c r="I348">
        <f t="shared" si="320"/>
        <v>3</v>
      </c>
      <c r="K348">
        <f t="shared" si="317"/>
        <v>231</v>
      </c>
      <c r="L348">
        <f t="shared" ref="L348:T348" si="321">K348+1</f>
        <v>232</v>
      </c>
      <c r="M348">
        <f t="shared" si="321"/>
        <v>233</v>
      </c>
      <c r="N348">
        <f t="shared" si="321"/>
        <v>234</v>
      </c>
      <c r="O348">
        <f t="shared" si="321"/>
        <v>235</v>
      </c>
      <c r="P348">
        <f t="shared" si="321"/>
        <v>236</v>
      </c>
      <c r="Q348">
        <f t="shared" si="321"/>
        <v>237</v>
      </c>
      <c r="R348">
        <f t="shared" si="321"/>
        <v>238</v>
      </c>
      <c r="S348">
        <f t="shared" si="321"/>
        <v>239</v>
      </c>
      <c r="T348">
        <f t="shared" si="321"/>
        <v>240</v>
      </c>
      <c r="U348">
        <f t="shared" si="282"/>
        <v>231</v>
      </c>
      <c r="V348">
        <f t="shared" ref="V348:AD348" si="322">U348+1</f>
        <v>232</v>
      </c>
      <c r="W348">
        <f t="shared" si="322"/>
        <v>233</v>
      </c>
      <c r="X348">
        <f t="shared" si="322"/>
        <v>234</v>
      </c>
      <c r="Y348">
        <f t="shared" si="322"/>
        <v>235</v>
      </c>
      <c r="Z348">
        <f t="shared" si="322"/>
        <v>236</v>
      </c>
      <c r="AA348">
        <f t="shared" si="322"/>
        <v>237</v>
      </c>
      <c r="AB348">
        <f t="shared" si="322"/>
        <v>238</v>
      </c>
      <c r="AC348">
        <f t="shared" si="322"/>
        <v>239</v>
      </c>
      <c r="AD348">
        <f t="shared" si="322"/>
        <v>240</v>
      </c>
      <c r="AE348">
        <f t="shared" si="265"/>
        <v>1</v>
      </c>
    </row>
    <row r="349" spans="1:31" x14ac:dyDescent="0.25">
      <c r="A349" t="s">
        <v>153</v>
      </c>
      <c r="B349">
        <f>B337*B342+B337*B347</f>
        <v>-1</v>
      </c>
      <c r="C349">
        <f t="shared" ref="C349:I349" si="323">C337*C342+C337*C347</f>
        <v>-1</v>
      </c>
      <c r="D349">
        <f t="shared" si="323"/>
        <v>3</v>
      </c>
      <c r="E349">
        <f t="shared" si="323"/>
        <v>3</v>
      </c>
      <c r="F349">
        <f t="shared" si="323"/>
        <v>-1</v>
      </c>
      <c r="G349">
        <f t="shared" si="323"/>
        <v>-1</v>
      </c>
      <c r="H349">
        <f t="shared" si="323"/>
        <v>3</v>
      </c>
      <c r="I349">
        <f t="shared" si="323"/>
        <v>3</v>
      </c>
      <c r="K349">
        <f t="shared" si="317"/>
        <v>241</v>
      </c>
      <c r="L349">
        <f t="shared" ref="L349:T349" si="324">K349+1</f>
        <v>242</v>
      </c>
      <c r="M349">
        <f t="shared" si="324"/>
        <v>243</v>
      </c>
      <c r="N349">
        <f t="shared" si="324"/>
        <v>244</v>
      </c>
      <c r="O349">
        <f t="shared" si="324"/>
        <v>245</v>
      </c>
      <c r="P349">
        <f t="shared" si="324"/>
        <v>246</v>
      </c>
      <c r="Q349">
        <f t="shared" si="324"/>
        <v>247</v>
      </c>
      <c r="R349">
        <f t="shared" si="324"/>
        <v>248</v>
      </c>
      <c r="S349">
        <f t="shared" si="324"/>
        <v>249</v>
      </c>
      <c r="T349">
        <f t="shared" si="324"/>
        <v>250</v>
      </c>
      <c r="U349">
        <f t="shared" si="282"/>
        <v>241</v>
      </c>
      <c r="V349">
        <f t="shared" ref="V349:AD349" si="325">U349+1</f>
        <v>242</v>
      </c>
      <c r="W349">
        <f t="shared" si="325"/>
        <v>243</v>
      </c>
      <c r="X349">
        <f t="shared" si="325"/>
        <v>244</v>
      </c>
      <c r="Y349">
        <f t="shared" si="325"/>
        <v>245</v>
      </c>
      <c r="Z349">
        <f t="shared" si="325"/>
        <v>246</v>
      </c>
      <c r="AA349">
        <f t="shared" si="325"/>
        <v>247</v>
      </c>
      <c r="AB349">
        <f t="shared" si="325"/>
        <v>248</v>
      </c>
      <c r="AC349">
        <f t="shared" si="325"/>
        <v>249</v>
      </c>
      <c r="AD349">
        <f t="shared" si="325"/>
        <v>250</v>
      </c>
      <c r="AE349">
        <f t="shared" si="265"/>
        <v>1</v>
      </c>
    </row>
    <row r="350" spans="1:31" x14ac:dyDescent="0.25">
      <c r="A350" t="s">
        <v>154</v>
      </c>
      <c r="B350">
        <f>B338*B343+B338*B344</f>
        <v>-1</v>
      </c>
      <c r="C350">
        <f>C338*C343+C338*C344</f>
        <v>-1</v>
      </c>
      <c r="D350">
        <f t="shared" ref="D350:I350" si="326">D338*D343+D338*D344</f>
        <v>-1</v>
      </c>
      <c r="E350">
        <f t="shared" si="326"/>
        <v>-1</v>
      </c>
      <c r="F350">
        <f t="shared" si="326"/>
        <v>3</v>
      </c>
      <c r="G350">
        <f t="shared" si="326"/>
        <v>3</v>
      </c>
      <c r="H350">
        <f t="shared" si="326"/>
        <v>3</v>
      </c>
      <c r="I350">
        <f t="shared" si="326"/>
        <v>3</v>
      </c>
      <c r="K350">
        <f t="shared" si="317"/>
        <v>251</v>
      </c>
      <c r="L350">
        <f t="shared" ref="L350:T350" si="327">K350+1</f>
        <v>252</v>
      </c>
      <c r="M350">
        <f t="shared" si="327"/>
        <v>253</v>
      </c>
      <c r="N350">
        <f t="shared" si="327"/>
        <v>254</v>
      </c>
      <c r="O350">
        <f t="shared" si="327"/>
        <v>255</v>
      </c>
      <c r="P350">
        <f t="shared" si="327"/>
        <v>256</v>
      </c>
      <c r="Q350">
        <f t="shared" si="327"/>
        <v>257</v>
      </c>
      <c r="R350">
        <f t="shared" si="327"/>
        <v>258</v>
      </c>
      <c r="S350">
        <f t="shared" si="327"/>
        <v>259</v>
      </c>
      <c r="T350">
        <f t="shared" si="327"/>
        <v>260</v>
      </c>
      <c r="U350">
        <f t="shared" si="282"/>
        <v>251</v>
      </c>
      <c r="V350">
        <f t="shared" ref="V350:AD350" si="328">U350+1</f>
        <v>252</v>
      </c>
      <c r="W350">
        <f t="shared" si="328"/>
        <v>253</v>
      </c>
      <c r="X350">
        <f t="shared" si="328"/>
        <v>254</v>
      </c>
      <c r="Y350">
        <f t="shared" si="328"/>
        <v>255</v>
      </c>
      <c r="Z350">
        <f t="shared" si="328"/>
        <v>256</v>
      </c>
      <c r="AA350">
        <f t="shared" si="328"/>
        <v>257</v>
      </c>
      <c r="AB350">
        <f t="shared" si="328"/>
        <v>258</v>
      </c>
      <c r="AC350">
        <f t="shared" si="328"/>
        <v>259</v>
      </c>
      <c r="AD350">
        <f t="shared" si="328"/>
        <v>260</v>
      </c>
      <c r="AE350">
        <f t="shared" si="265"/>
        <v>1</v>
      </c>
    </row>
    <row r="351" spans="1:31" x14ac:dyDescent="0.25">
      <c r="A351" t="s">
        <v>157</v>
      </c>
      <c r="B351">
        <f>B348-$B$326</f>
        <v>-2</v>
      </c>
      <c r="C351">
        <f t="shared" ref="C351:I351" si="329">C348-$B$326</f>
        <v>2</v>
      </c>
      <c r="D351">
        <f t="shared" si="329"/>
        <v>-2</v>
      </c>
      <c r="E351">
        <f t="shared" si="329"/>
        <v>2</v>
      </c>
      <c r="F351">
        <f t="shared" si="329"/>
        <v>-2</v>
      </c>
      <c r="G351">
        <f t="shared" si="329"/>
        <v>2</v>
      </c>
      <c r="H351">
        <f t="shared" si="329"/>
        <v>-2</v>
      </c>
      <c r="I351">
        <f t="shared" si="329"/>
        <v>2</v>
      </c>
      <c r="K351">
        <f t="shared" si="317"/>
        <v>261</v>
      </c>
      <c r="L351">
        <f t="shared" ref="L351:T351" si="330">K351+1</f>
        <v>262</v>
      </c>
      <c r="M351">
        <f t="shared" si="330"/>
        <v>263</v>
      </c>
      <c r="N351">
        <f t="shared" si="330"/>
        <v>264</v>
      </c>
      <c r="O351">
        <f t="shared" si="330"/>
        <v>265</v>
      </c>
      <c r="P351">
        <f t="shared" si="330"/>
        <v>266</v>
      </c>
      <c r="Q351">
        <f t="shared" si="330"/>
        <v>267</v>
      </c>
      <c r="R351">
        <f t="shared" si="330"/>
        <v>268</v>
      </c>
      <c r="S351">
        <f t="shared" si="330"/>
        <v>269</v>
      </c>
      <c r="T351">
        <f t="shared" si="330"/>
        <v>270</v>
      </c>
      <c r="U351">
        <f t="shared" si="282"/>
        <v>261</v>
      </c>
      <c r="V351">
        <f t="shared" ref="V351:AD351" si="331">U351+1</f>
        <v>262</v>
      </c>
      <c r="W351">
        <f t="shared" si="331"/>
        <v>263</v>
      </c>
      <c r="X351">
        <f t="shared" si="331"/>
        <v>264</v>
      </c>
      <c r="Y351">
        <f t="shared" si="331"/>
        <v>265</v>
      </c>
      <c r="Z351">
        <f t="shared" si="331"/>
        <v>266</v>
      </c>
      <c r="AA351">
        <f t="shared" si="331"/>
        <v>267</v>
      </c>
      <c r="AB351">
        <f t="shared" si="331"/>
        <v>268</v>
      </c>
      <c r="AC351">
        <f t="shared" si="331"/>
        <v>269</v>
      </c>
      <c r="AD351">
        <f t="shared" si="331"/>
        <v>270</v>
      </c>
      <c r="AE351">
        <f t="shared" si="265"/>
        <v>1</v>
      </c>
    </row>
    <row r="352" spans="1:31" x14ac:dyDescent="0.25">
      <c r="A352" t="s">
        <v>158</v>
      </c>
      <c r="B352">
        <f>B349-$B$327</f>
        <v>-2</v>
      </c>
      <c r="C352">
        <f>C349-$B$327</f>
        <v>-2</v>
      </c>
      <c r="D352">
        <f t="shared" ref="D352:I352" si="332">D349-$B$327</f>
        <v>2</v>
      </c>
      <c r="E352">
        <f t="shared" si="332"/>
        <v>2</v>
      </c>
      <c r="F352">
        <f t="shared" si="332"/>
        <v>-2</v>
      </c>
      <c r="G352">
        <f t="shared" si="332"/>
        <v>-2</v>
      </c>
      <c r="H352">
        <f t="shared" si="332"/>
        <v>2</v>
      </c>
      <c r="I352">
        <f t="shared" si="332"/>
        <v>2</v>
      </c>
      <c r="K352">
        <f t="shared" si="317"/>
        <v>271</v>
      </c>
      <c r="L352">
        <f t="shared" ref="L352:T352" si="333">K352+1</f>
        <v>272</v>
      </c>
      <c r="M352">
        <f t="shared" si="333"/>
        <v>273</v>
      </c>
      <c r="N352">
        <f t="shared" si="333"/>
        <v>274</v>
      </c>
      <c r="O352">
        <f t="shared" si="333"/>
        <v>275</v>
      </c>
      <c r="P352">
        <f t="shared" si="333"/>
        <v>276</v>
      </c>
      <c r="Q352">
        <f t="shared" si="333"/>
        <v>277</v>
      </c>
      <c r="R352">
        <f t="shared" si="333"/>
        <v>278</v>
      </c>
      <c r="S352">
        <f t="shared" si="333"/>
        <v>279</v>
      </c>
      <c r="T352">
        <f t="shared" si="333"/>
        <v>280</v>
      </c>
      <c r="U352">
        <f t="shared" si="282"/>
        <v>271</v>
      </c>
      <c r="V352">
        <f t="shared" ref="V352:AD352" si="334">U352+1</f>
        <v>272</v>
      </c>
      <c r="W352">
        <f t="shared" si="334"/>
        <v>273</v>
      </c>
      <c r="X352">
        <f t="shared" si="334"/>
        <v>274</v>
      </c>
      <c r="Y352">
        <f t="shared" si="334"/>
        <v>275</v>
      </c>
      <c r="Z352">
        <f t="shared" si="334"/>
        <v>276</v>
      </c>
      <c r="AA352">
        <f t="shared" si="334"/>
        <v>277</v>
      </c>
      <c r="AB352">
        <f t="shared" si="334"/>
        <v>278</v>
      </c>
      <c r="AC352">
        <f t="shared" si="334"/>
        <v>279</v>
      </c>
      <c r="AD352">
        <f t="shared" si="334"/>
        <v>280</v>
      </c>
      <c r="AE352">
        <f t="shared" si="265"/>
        <v>1</v>
      </c>
    </row>
    <row r="353" spans="1:31" x14ac:dyDescent="0.25">
      <c r="A353" t="s">
        <v>159</v>
      </c>
      <c r="B353">
        <f>B350-$B$328</f>
        <v>1</v>
      </c>
      <c r="C353">
        <f>C350-$B$328</f>
        <v>1</v>
      </c>
      <c r="D353">
        <f t="shared" ref="D353:I353" si="335">D350-$B$328</f>
        <v>1</v>
      </c>
      <c r="E353">
        <f t="shared" si="335"/>
        <v>1</v>
      </c>
      <c r="F353">
        <f t="shared" si="335"/>
        <v>5</v>
      </c>
      <c r="G353">
        <f t="shared" si="335"/>
        <v>5</v>
      </c>
      <c r="H353">
        <f t="shared" si="335"/>
        <v>5</v>
      </c>
      <c r="I353">
        <f t="shared" si="335"/>
        <v>5</v>
      </c>
      <c r="K353">
        <f t="shared" si="317"/>
        <v>281</v>
      </c>
      <c r="L353">
        <f t="shared" ref="L353:T353" si="336">K353+1</f>
        <v>282</v>
      </c>
      <c r="M353">
        <f t="shared" si="336"/>
        <v>283</v>
      </c>
      <c r="N353">
        <f t="shared" si="336"/>
        <v>284</v>
      </c>
      <c r="O353">
        <f t="shared" si="336"/>
        <v>285</v>
      </c>
      <c r="P353">
        <f t="shared" si="336"/>
        <v>286</v>
      </c>
      <c r="Q353">
        <f t="shared" si="336"/>
        <v>287</v>
      </c>
      <c r="R353">
        <f t="shared" si="336"/>
        <v>288</v>
      </c>
      <c r="S353">
        <f t="shared" si="336"/>
        <v>289</v>
      </c>
      <c r="T353">
        <f t="shared" si="336"/>
        <v>290</v>
      </c>
      <c r="U353">
        <f t="shared" si="282"/>
        <v>281</v>
      </c>
      <c r="V353">
        <f t="shared" ref="V353:AD353" si="337">U353+1</f>
        <v>282</v>
      </c>
      <c r="W353">
        <f t="shared" si="337"/>
        <v>283</v>
      </c>
      <c r="X353">
        <f t="shared" si="337"/>
        <v>284</v>
      </c>
      <c r="Y353">
        <f t="shared" si="337"/>
        <v>285</v>
      </c>
      <c r="Z353">
        <f t="shared" si="337"/>
        <v>286</v>
      </c>
      <c r="AA353">
        <f t="shared" si="337"/>
        <v>287</v>
      </c>
      <c r="AB353">
        <f t="shared" si="337"/>
        <v>288</v>
      </c>
      <c r="AC353">
        <f t="shared" si="337"/>
        <v>289</v>
      </c>
      <c r="AD353">
        <f t="shared" si="337"/>
        <v>290</v>
      </c>
      <c r="AE353">
        <f t="shared" si="265"/>
        <v>1</v>
      </c>
    </row>
    <row r="354" spans="1:31" x14ac:dyDescent="0.25">
      <c r="A354" t="s">
        <v>167</v>
      </c>
      <c r="B354">
        <f>IF(B356&gt;0, (B351*$B$335)/(B353+$B$335), "")</f>
        <v>-1</v>
      </c>
      <c r="C354">
        <f t="shared" ref="C354:I354" si="338">IF(C356&gt;0, (C351*$B$335)/(C353+$B$335), "")</f>
        <v>1</v>
      </c>
      <c r="D354">
        <f t="shared" si="338"/>
        <v>-1</v>
      </c>
      <c r="E354">
        <f t="shared" si="338"/>
        <v>1</v>
      </c>
      <c r="F354">
        <f t="shared" si="338"/>
        <v>-0.33333333333333331</v>
      </c>
      <c r="G354">
        <f t="shared" si="338"/>
        <v>0.33333333333333331</v>
      </c>
      <c r="H354">
        <f t="shared" si="338"/>
        <v>-0.33333333333333331</v>
      </c>
      <c r="I354">
        <f t="shared" si="338"/>
        <v>0.33333333333333331</v>
      </c>
      <c r="K354">
        <f t="shared" si="317"/>
        <v>291</v>
      </c>
      <c r="L354">
        <f t="shared" ref="L354:T354" si="339">K354+1</f>
        <v>292</v>
      </c>
      <c r="M354">
        <f t="shared" si="339"/>
        <v>293</v>
      </c>
      <c r="N354">
        <f t="shared" si="339"/>
        <v>294</v>
      </c>
      <c r="O354">
        <f t="shared" si="339"/>
        <v>295</v>
      </c>
      <c r="P354">
        <f t="shared" si="339"/>
        <v>296</v>
      </c>
      <c r="Q354">
        <f t="shared" si="339"/>
        <v>297</v>
      </c>
      <c r="R354">
        <f t="shared" si="339"/>
        <v>298</v>
      </c>
      <c r="S354">
        <f t="shared" si="339"/>
        <v>299</v>
      </c>
      <c r="T354">
        <f t="shared" si="339"/>
        <v>300</v>
      </c>
      <c r="U354">
        <f t="shared" si="282"/>
        <v>291</v>
      </c>
      <c r="V354">
        <f t="shared" ref="V354:AD354" si="340">U354+1</f>
        <v>292</v>
      </c>
      <c r="W354">
        <f t="shared" si="340"/>
        <v>293</v>
      </c>
      <c r="X354">
        <f t="shared" si="340"/>
        <v>294</v>
      </c>
      <c r="Y354">
        <f t="shared" si="340"/>
        <v>295</v>
      </c>
      <c r="Z354">
        <f t="shared" si="340"/>
        <v>296</v>
      </c>
      <c r="AA354">
        <f t="shared" si="340"/>
        <v>297</v>
      </c>
      <c r="AB354">
        <f t="shared" si="340"/>
        <v>298</v>
      </c>
      <c r="AC354">
        <f t="shared" si="340"/>
        <v>299</v>
      </c>
      <c r="AD354">
        <f t="shared" si="340"/>
        <v>300</v>
      </c>
      <c r="AE354">
        <f t="shared" si="265"/>
        <v>1</v>
      </c>
    </row>
    <row r="355" spans="1:31" x14ac:dyDescent="0.25">
      <c r="A355" t="s">
        <v>168</v>
      </c>
      <c r="B355">
        <f>IF(B356&gt;0, (B352*$B$335)/(B353+$B$335), "")</f>
        <v>-1</v>
      </c>
      <c r="C355">
        <f t="shared" ref="C355:I355" si="341">IF(C356&gt;0, (C352*$B$335)/(C353+$B$335), "")</f>
        <v>-1</v>
      </c>
      <c r="D355">
        <f t="shared" si="341"/>
        <v>1</v>
      </c>
      <c r="E355">
        <f t="shared" si="341"/>
        <v>1</v>
      </c>
      <c r="F355">
        <f t="shared" si="341"/>
        <v>-0.33333333333333331</v>
      </c>
      <c r="G355">
        <f t="shared" si="341"/>
        <v>-0.33333333333333331</v>
      </c>
      <c r="H355">
        <f t="shared" si="341"/>
        <v>0.33333333333333331</v>
      </c>
      <c r="I355">
        <f t="shared" si="341"/>
        <v>0.33333333333333331</v>
      </c>
      <c r="K355">
        <f>T354+1</f>
        <v>301</v>
      </c>
      <c r="L355">
        <f>K355+1</f>
        <v>302</v>
      </c>
      <c r="M355">
        <f t="shared" ref="M355:R355" si="342">L355+1</f>
        <v>303</v>
      </c>
      <c r="N355">
        <f t="shared" si="342"/>
        <v>304</v>
      </c>
      <c r="O355">
        <f t="shared" si="342"/>
        <v>305</v>
      </c>
      <c r="P355">
        <f t="shared" si="342"/>
        <v>306</v>
      </c>
      <c r="Q355">
        <f t="shared" si="342"/>
        <v>307</v>
      </c>
      <c r="R355">
        <f t="shared" si="342"/>
        <v>308</v>
      </c>
      <c r="S355">
        <f>R355+1</f>
        <v>309</v>
      </c>
      <c r="T355">
        <f t="shared" ref="T355" si="343">S355+1</f>
        <v>310</v>
      </c>
      <c r="U355">
        <f t="shared" si="282"/>
        <v>301</v>
      </c>
      <c r="V355">
        <f t="shared" ref="V355:AD355" si="344">U355+1</f>
        <v>302</v>
      </c>
      <c r="W355">
        <f t="shared" si="344"/>
        <v>303</v>
      </c>
      <c r="X355">
        <f t="shared" si="344"/>
        <v>304</v>
      </c>
      <c r="Y355">
        <f t="shared" si="344"/>
        <v>305</v>
      </c>
      <c r="Z355">
        <f t="shared" si="344"/>
        <v>306</v>
      </c>
      <c r="AA355">
        <f t="shared" si="344"/>
        <v>307</v>
      </c>
      <c r="AB355">
        <f t="shared" si="344"/>
        <v>308</v>
      </c>
      <c r="AC355">
        <f t="shared" si="344"/>
        <v>309</v>
      </c>
      <c r="AD355">
        <f t="shared" si="344"/>
        <v>310</v>
      </c>
      <c r="AE355">
        <f t="shared" si="265"/>
        <v>1</v>
      </c>
    </row>
    <row r="356" spans="1:31" x14ac:dyDescent="0.25">
      <c r="A356" t="s">
        <v>181</v>
      </c>
      <c r="B356">
        <v>1</v>
      </c>
      <c r="C356">
        <v>1</v>
      </c>
      <c r="D356">
        <v>1</v>
      </c>
      <c r="E356">
        <v>1</v>
      </c>
      <c r="F356">
        <v>1</v>
      </c>
      <c r="G356">
        <v>1</v>
      </c>
      <c r="H356">
        <v>1</v>
      </c>
      <c r="I356">
        <v>1</v>
      </c>
      <c r="K356">
        <f>T355+1</f>
        <v>311</v>
      </c>
      <c r="L356">
        <f>K356+1</f>
        <v>312</v>
      </c>
      <c r="M356">
        <f t="shared" ref="M356:T356" si="345">L356+1</f>
        <v>313</v>
      </c>
      <c r="N356">
        <f t="shared" si="345"/>
        <v>314</v>
      </c>
      <c r="O356">
        <f t="shared" si="345"/>
        <v>315</v>
      </c>
      <c r="P356">
        <f t="shared" si="345"/>
        <v>316</v>
      </c>
      <c r="Q356">
        <f t="shared" si="345"/>
        <v>317</v>
      </c>
      <c r="R356">
        <f t="shared" si="345"/>
        <v>318</v>
      </c>
      <c r="S356">
        <f t="shared" si="345"/>
        <v>319</v>
      </c>
      <c r="T356">
        <f t="shared" si="345"/>
        <v>320</v>
      </c>
      <c r="U356">
        <f t="shared" si="282"/>
        <v>311</v>
      </c>
      <c r="V356">
        <f t="shared" ref="V356:AD356" si="346">U356+1</f>
        <v>312</v>
      </c>
      <c r="W356">
        <f t="shared" si="346"/>
        <v>313</v>
      </c>
      <c r="X356">
        <f t="shared" si="346"/>
        <v>314</v>
      </c>
      <c r="Y356">
        <f t="shared" si="346"/>
        <v>315</v>
      </c>
      <c r="Z356">
        <f t="shared" si="346"/>
        <v>316</v>
      </c>
      <c r="AA356">
        <f t="shared" si="346"/>
        <v>317</v>
      </c>
      <c r="AB356">
        <f t="shared" si="346"/>
        <v>318</v>
      </c>
      <c r="AC356">
        <f t="shared" si="346"/>
        <v>319</v>
      </c>
      <c r="AD356">
        <f t="shared" si="346"/>
        <v>320</v>
      </c>
      <c r="AE356">
        <f t="shared" si="265"/>
        <v>1</v>
      </c>
    </row>
    <row r="357" spans="1:31" x14ac:dyDescent="0.25">
      <c r="A357" t="s">
        <v>169</v>
      </c>
      <c r="K357">
        <f t="shared" ref="K357:K364" si="347">T356+1</f>
        <v>321</v>
      </c>
      <c r="L357">
        <f t="shared" ref="L357:T357" si="348">K357+1</f>
        <v>322</v>
      </c>
      <c r="M357">
        <f t="shared" si="348"/>
        <v>323</v>
      </c>
      <c r="N357">
        <f t="shared" si="348"/>
        <v>324</v>
      </c>
      <c r="O357">
        <f t="shared" si="348"/>
        <v>325</v>
      </c>
      <c r="P357">
        <f t="shared" si="348"/>
        <v>326</v>
      </c>
      <c r="Q357">
        <f t="shared" si="348"/>
        <v>327</v>
      </c>
      <c r="R357">
        <f t="shared" si="348"/>
        <v>328</v>
      </c>
      <c r="S357">
        <f t="shared" si="348"/>
        <v>329</v>
      </c>
      <c r="T357">
        <f t="shared" si="348"/>
        <v>330</v>
      </c>
      <c r="U357">
        <f t="shared" si="282"/>
        <v>321</v>
      </c>
      <c r="V357">
        <f t="shared" ref="V357:AD357" si="349">U357+1</f>
        <v>322</v>
      </c>
      <c r="W357">
        <f t="shared" si="349"/>
        <v>323</v>
      </c>
      <c r="X357">
        <f t="shared" si="349"/>
        <v>324</v>
      </c>
      <c r="Y357">
        <f t="shared" si="349"/>
        <v>325</v>
      </c>
      <c r="Z357">
        <f t="shared" si="349"/>
        <v>326</v>
      </c>
      <c r="AA357">
        <f t="shared" si="349"/>
        <v>327</v>
      </c>
      <c r="AB357">
        <f t="shared" si="349"/>
        <v>328</v>
      </c>
      <c r="AC357">
        <f t="shared" si="349"/>
        <v>329</v>
      </c>
      <c r="AD357">
        <f t="shared" si="349"/>
        <v>330</v>
      </c>
      <c r="AE357">
        <f t="shared" si="265"/>
        <v>1</v>
      </c>
    </row>
    <row r="358" spans="1:31" x14ac:dyDescent="0.25">
      <c r="A358" t="s">
        <v>170</v>
      </c>
      <c r="B358" t="str">
        <f>IF(B357&gt;1, "Richtig", "Falsch")</f>
        <v>Falsch</v>
      </c>
      <c r="K358">
        <f t="shared" si="347"/>
        <v>331</v>
      </c>
      <c r="L358">
        <f t="shared" ref="L358:T358" si="350">K358+1</f>
        <v>332</v>
      </c>
      <c r="M358">
        <f t="shared" si="350"/>
        <v>333</v>
      </c>
      <c r="N358">
        <f t="shared" si="350"/>
        <v>334</v>
      </c>
      <c r="O358">
        <f t="shared" si="350"/>
        <v>335</v>
      </c>
      <c r="P358">
        <f t="shared" si="350"/>
        <v>336</v>
      </c>
      <c r="Q358">
        <f t="shared" si="350"/>
        <v>337</v>
      </c>
      <c r="R358">
        <f t="shared" si="350"/>
        <v>338</v>
      </c>
      <c r="S358">
        <f t="shared" si="350"/>
        <v>339</v>
      </c>
      <c r="T358">
        <f t="shared" si="350"/>
        <v>340</v>
      </c>
      <c r="U358">
        <f t="shared" si="282"/>
        <v>331</v>
      </c>
      <c r="V358">
        <f t="shared" ref="V358:AD358" si="351">U358+1</f>
        <v>332</v>
      </c>
      <c r="W358">
        <f t="shared" si="351"/>
        <v>333</v>
      </c>
      <c r="X358">
        <f t="shared" si="351"/>
        <v>334</v>
      </c>
      <c r="Y358">
        <f t="shared" si="351"/>
        <v>335</v>
      </c>
      <c r="Z358">
        <f t="shared" si="351"/>
        <v>336</v>
      </c>
      <c r="AA358">
        <f t="shared" si="351"/>
        <v>337</v>
      </c>
      <c r="AB358">
        <f t="shared" si="351"/>
        <v>338</v>
      </c>
      <c r="AC358">
        <f t="shared" si="351"/>
        <v>339</v>
      </c>
      <c r="AD358">
        <f t="shared" si="351"/>
        <v>340</v>
      </c>
      <c r="AE358">
        <f t="shared" si="265"/>
        <v>1</v>
      </c>
    </row>
    <row r="359" spans="1:31" x14ac:dyDescent="0.25">
      <c r="A359" t="s">
        <v>171</v>
      </c>
      <c r="K359">
        <f t="shared" si="347"/>
        <v>341</v>
      </c>
      <c r="L359">
        <f t="shared" ref="L359:T359" si="352">K359+1</f>
        <v>342</v>
      </c>
      <c r="M359">
        <f t="shared" si="352"/>
        <v>343</v>
      </c>
      <c r="N359">
        <f t="shared" si="352"/>
        <v>344</v>
      </c>
      <c r="O359">
        <f t="shared" si="352"/>
        <v>345</v>
      </c>
      <c r="P359">
        <f t="shared" si="352"/>
        <v>346</v>
      </c>
      <c r="Q359">
        <f t="shared" si="352"/>
        <v>347</v>
      </c>
      <c r="R359">
        <f t="shared" si="352"/>
        <v>348</v>
      </c>
      <c r="S359">
        <f t="shared" si="352"/>
        <v>349</v>
      </c>
      <c r="T359">
        <f t="shared" si="352"/>
        <v>350</v>
      </c>
      <c r="U359">
        <f t="shared" si="282"/>
        <v>341</v>
      </c>
      <c r="V359">
        <f t="shared" ref="V359:AD359" si="353">U359+1</f>
        <v>342</v>
      </c>
      <c r="W359">
        <f t="shared" si="353"/>
        <v>343</v>
      </c>
      <c r="X359">
        <f t="shared" si="353"/>
        <v>344</v>
      </c>
      <c r="Y359">
        <f t="shared" si="353"/>
        <v>345</v>
      </c>
      <c r="Z359">
        <f t="shared" si="353"/>
        <v>346</v>
      </c>
      <c r="AA359">
        <f t="shared" si="353"/>
        <v>347</v>
      </c>
      <c r="AB359">
        <f t="shared" si="353"/>
        <v>348</v>
      </c>
      <c r="AC359">
        <f t="shared" si="353"/>
        <v>349</v>
      </c>
      <c r="AD359">
        <f t="shared" si="353"/>
        <v>350</v>
      </c>
      <c r="AE359">
        <f t="shared" si="265"/>
        <v>1</v>
      </c>
    </row>
    <row r="360" spans="1:31" x14ac:dyDescent="0.25">
      <c r="A360" t="s">
        <v>172</v>
      </c>
      <c r="K360">
        <f t="shared" si="347"/>
        <v>351</v>
      </c>
      <c r="L360">
        <f t="shared" ref="L360:T360" si="354">K360+1</f>
        <v>352</v>
      </c>
      <c r="M360">
        <f t="shared" si="354"/>
        <v>353</v>
      </c>
      <c r="N360">
        <f t="shared" si="354"/>
        <v>354</v>
      </c>
      <c r="O360">
        <f t="shared" si="354"/>
        <v>355</v>
      </c>
      <c r="P360">
        <f t="shared" si="354"/>
        <v>356</v>
      </c>
      <c r="Q360">
        <f t="shared" si="354"/>
        <v>357</v>
      </c>
      <c r="R360">
        <f t="shared" si="354"/>
        <v>358</v>
      </c>
      <c r="S360">
        <f t="shared" si="354"/>
        <v>359</v>
      </c>
      <c r="T360">
        <f t="shared" si="354"/>
        <v>360</v>
      </c>
      <c r="U360">
        <f t="shared" si="282"/>
        <v>351</v>
      </c>
      <c r="V360">
        <f t="shared" ref="V360:AD360" si="355">U360+1</f>
        <v>352</v>
      </c>
      <c r="W360">
        <f t="shared" si="355"/>
        <v>353</v>
      </c>
      <c r="X360">
        <f t="shared" si="355"/>
        <v>354</v>
      </c>
      <c r="Y360">
        <f t="shared" si="355"/>
        <v>355</v>
      </c>
      <c r="Z360">
        <f t="shared" si="355"/>
        <v>356</v>
      </c>
      <c r="AA360">
        <f t="shared" si="355"/>
        <v>357</v>
      </c>
      <c r="AB360">
        <f t="shared" si="355"/>
        <v>358</v>
      </c>
      <c r="AC360">
        <f t="shared" si="355"/>
        <v>359</v>
      </c>
      <c r="AD360">
        <f t="shared" si="355"/>
        <v>360</v>
      </c>
      <c r="AE360">
        <f t="shared" si="265"/>
        <v>1</v>
      </c>
    </row>
    <row r="361" spans="1:31" x14ac:dyDescent="0.25">
      <c r="A361" t="s">
        <v>173</v>
      </c>
      <c r="K361">
        <f t="shared" si="347"/>
        <v>361</v>
      </c>
      <c r="L361">
        <f t="shared" ref="L361:T361" si="356">K361+1</f>
        <v>362</v>
      </c>
      <c r="M361">
        <f t="shared" si="356"/>
        <v>363</v>
      </c>
      <c r="N361">
        <f t="shared" si="356"/>
        <v>364</v>
      </c>
      <c r="O361">
        <f t="shared" si="356"/>
        <v>365</v>
      </c>
      <c r="P361">
        <f t="shared" si="356"/>
        <v>366</v>
      </c>
      <c r="Q361">
        <f t="shared" si="356"/>
        <v>367</v>
      </c>
      <c r="R361">
        <f t="shared" si="356"/>
        <v>368</v>
      </c>
      <c r="S361">
        <f t="shared" si="356"/>
        <v>369</v>
      </c>
      <c r="T361">
        <f t="shared" si="356"/>
        <v>370</v>
      </c>
      <c r="U361">
        <f t="shared" si="282"/>
        <v>361</v>
      </c>
      <c r="V361">
        <f t="shared" ref="V361:AD361" si="357">U361+1</f>
        <v>362</v>
      </c>
      <c r="W361">
        <f t="shared" si="357"/>
        <v>363</v>
      </c>
      <c r="X361">
        <f t="shared" si="357"/>
        <v>364</v>
      </c>
      <c r="Y361">
        <f t="shared" si="357"/>
        <v>365</v>
      </c>
      <c r="Z361">
        <f t="shared" si="357"/>
        <v>366</v>
      </c>
      <c r="AA361">
        <f t="shared" si="357"/>
        <v>367</v>
      </c>
      <c r="AB361">
        <f t="shared" si="357"/>
        <v>368</v>
      </c>
      <c r="AC361">
        <f t="shared" si="357"/>
        <v>369</v>
      </c>
      <c r="AD361">
        <f t="shared" si="357"/>
        <v>370</v>
      </c>
      <c r="AE361">
        <f t="shared" si="265"/>
        <v>1</v>
      </c>
    </row>
    <row r="362" spans="1:31" x14ac:dyDescent="0.25">
      <c r="A362" t="s">
        <v>174</v>
      </c>
      <c r="K362">
        <f t="shared" si="347"/>
        <v>371</v>
      </c>
      <c r="L362">
        <f t="shared" ref="L362:T362" si="358">K362+1</f>
        <v>372</v>
      </c>
      <c r="M362">
        <f t="shared" si="358"/>
        <v>373</v>
      </c>
      <c r="N362">
        <f t="shared" si="358"/>
        <v>374</v>
      </c>
      <c r="O362">
        <f t="shared" si="358"/>
        <v>375</v>
      </c>
      <c r="P362">
        <f t="shared" si="358"/>
        <v>376</v>
      </c>
      <c r="Q362">
        <f t="shared" si="358"/>
        <v>377</v>
      </c>
      <c r="R362">
        <f t="shared" si="358"/>
        <v>378</v>
      </c>
      <c r="S362">
        <f t="shared" si="358"/>
        <v>379</v>
      </c>
      <c r="T362">
        <f t="shared" si="358"/>
        <v>380</v>
      </c>
      <c r="U362">
        <f t="shared" si="282"/>
        <v>371</v>
      </c>
      <c r="V362">
        <f t="shared" ref="V362:AD362" si="359">U362+1</f>
        <v>372</v>
      </c>
      <c r="W362">
        <f t="shared" si="359"/>
        <v>373</v>
      </c>
      <c r="X362">
        <f t="shared" si="359"/>
        <v>374</v>
      </c>
      <c r="Y362">
        <f t="shared" si="359"/>
        <v>375</v>
      </c>
      <c r="Z362">
        <f t="shared" si="359"/>
        <v>376</v>
      </c>
      <c r="AA362">
        <f t="shared" si="359"/>
        <v>377</v>
      </c>
      <c r="AB362">
        <f t="shared" si="359"/>
        <v>378</v>
      </c>
      <c r="AC362">
        <f t="shared" si="359"/>
        <v>379</v>
      </c>
      <c r="AD362">
        <f t="shared" si="359"/>
        <v>380</v>
      </c>
      <c r="AE362">
        <f t="shared" si="265"/>
        <v>1</v>
      </c>
    </row>
    <row r="363" spans="1:31" x14ac:dyDescent="0.25">
      <c r="A363" t="s">
        <v>175</v>
      </c>
      <c r="K363">
        <f t="shared" si="347"/>
        <v>381</v>
      </c>
      <c r="L363">
        <f t="shared" ref="L363:T363" si="360">K363+1</f>
        <v>382</v>
      </c>
      <c r="M363">
        <f t="shared" si="360"/>
        <v>383</v>
      </c>
      <c r="N363">
        <f t="shared" si="360"/>
        <v>384</v>
      </c>
      <c r="O363">
        <f t="shared" si="360"/>
        <v>385</v>
      </c>
      <c r="P363">
        <f t="shared" si="360"/>
        <v>386</v>
      </c>
      <c r="Q363">
        <f t="shared" si="360"/>
        <v>387</v>
      </c>
      <c r="R363">
        <f t="shared" si="360"/>
        <v>388</v>
      </c>
      <c r="S363">
        <f t="shared" si="360"/>
        <v>389</v>
      </c>
      <c r="T363">
        <f t="shared" si="360"/>
        <v>390</v>
      </c>
      <c r="U363">
        <f t="shared" si="282"/>
        <v>381</v>
      </c>
      <c r="V363">
        <f t="shared" ref="V363:AD363" si="361">U363+1</f>
        <v>382</v>
      </c>
      <c r="W363">
        <f t="shared" si="361"/>
        <v>383</v>
      </c>
      <c r="X363">
        <f t="shared" si="361"/>
        <v>384</v>
      </c>
      <c r="Y363">
        <f t="shared" si="361"/>
        <v>385</v>
      </c>
      <c r="Z363">
        <f t="shared" si="361"/>
        <v>386</v>
      </c>
      <c r="AA363">
        <f t="shared" si="361"/>
        <v>387</v>
      </c>
      <c r="AB363">
        <f t="shared" si="361"/>
        <v>388</v>
      </c>
      <c r="AC363">
        <f t="shared" si="361"/>
        <v>389</v>
      </c>
      <c r="AD363">
        <f t="shared" si="361"/>
        <v>390</v>
      </c>
      <c r="AE363">
        <f t="shared" si="265"/>
        <v>1</v>
      </c>
    </row>
    <row r="364" spans="1:31" x14ac:dyDescent="0.25">
      <c r="A364" t="s">
        <v>176</v>
      </c>
      <c r="K364">
        <f t="shared" si="347"/>
        <v>391</v>
      </c>
      <c r="L364">
        <f t="shared" ref="L364:T364" si="362">K364+1</f>
        <v>392</v>
      </c>
      <c r="M364">
        <f t="shared" si="362"/>
        <v>393</v>
      </c>
      <c r="N364">
        <f t="shared" si="362"/>
        <v>394</v>
      </c>
      <c r="O364">
        <f t="shared" si="362"/>
        <v>395</v>
      </c>
      <c r="P364">
        <f t="shared" si="362"/>
        <v>396</v>
      </c>
      <c r="Q364">
        <f t="shared" si="362"/>
        <v>397</v>
      </c>
      <c r="R364">
        <f t="shared" si="362"/>
        <v>398</v>
      </c>
      <c r="S364">
        <f t="shared" si="362"/>
        <v>399</v>
      </c>
      <c r="T364">
        <f t="shared" si="362"/>
        <v>400</v>
      </c>
      <c r="U364">
        <f t="shared" si="282"/>
        <v>391</v>
      </c>
      <c r="V364">
        <f t="shared" ref="V364:AD364" si="363">U364+1</f>
        <v>392</v>
      </c>
      <c r="W364">
        <f t="shared" si="363"/>
        <v>393</v>
      </c>
      <c r="X364">
        <f t="shared" si="363"/>
        <v>394</v>
      </c>
      <c r="Y364">
        <f t="shared" si="363"/>
        <v>395</v>
      </c>
      <c r="Z364">
        <f t="shared" si="363"/>
        <v>396</v>
      </c>
      <c r="AA364">
        <f t="shared" si="363"/>
        <v>397</v>
      </c>
      <c r="AB364">
        <f t="shared" si="363"/>
        <v>398</v>
      </c>
      <c r="AC364">
        <f t="shared" si="363"/>
        <v>399</v>
      </c>
      <c r="AD364">
        <f t="shared" si="363"/>
        <v>400</v>
      </c>
      <c r="AE364">
        <f t="shared" si="265"/>
        <v>1</v>
      </c>
    </row>
    <row r="365" spans="1:31" x14ac:dyDescent="0.25">
      <c r="A365" t="s">
        <v>177</v>
      </c>
      <c r="K365">
        <f>T364+1</f>
        <v>401</v>
      </c>
      <c r="L365">
        <f>K365+1</f>
        <v>402</v>
      </c>
      <c r="M365">
        <f t="shared" ref="M365:R365" si="364">L365+1</f>
        <v>403</v>
      </c>
      <c r="N365">
        <f t="shared" si="364"/>
        <v>404</v>
      </c>
      <c r="O365">
        <f t="shared" si="364"/>
        <v>405</v>
      </c>
      <c r="P365">
        <f t="shared" si="364"/>
        <v>406</v>
      </c>
      <c r="Q365">
        <f t="shared" si="364"/>
        <v>407</v>
      </c>
      <c r="R365">
        <f t="shared" si="364"/>
        <v>408</v>
      </c>
      <c r="S365">
        <f>R365+1</f>
        <v>409</v>
      </c>
      <c r="T365">
        <f t="shared" ref="T365" si="365">S365+1</f>
        <v>410</v>
      </c>
      <c r="U365">
        <f t="shared" si="282"/>
        <v>401</v>
      </c>
      <c r="V365">
        <f t="shared" ref="V365:AD365" si="366">U365+1</f>
        <v>402</v>
      </c>
      <c r="W365">
        <f t="shared" si="366"/>
        <v>403</v>
      </c>
      <c r="X365">
        <f t="shared" si="366"/>
        <v>404</v>
      </c>
      <c r="Y365">
        <f t="shared" si="366"/>
        <v>405</v>
      </c>
      <c r="Z365">
        <f t="shared" si="366"/>
        <v>406</v>
      </c>
      <c r="AA365">
        <f t="shared" si="366"/>
        <v>407</v>
      </c>
      <c r="AB365">
        <f t="shared" si="366"/>
        <v>408</v>
      </c>
      <c r="AC365">
        <f t="shared" si="366"/>
        <v>409</v>
      </c>
      <c r="AD365">
        <f t="shared" si="366"/>
        <v>410</v>
      </c>
      <c r="AE365">
        <f t="shared" si="265"/>
        <v>1</v>
      </c>
    </row>
    <row r="366" spans="1:31" x14ac:dyDescent="0.25">
      <c r="A366" t="s">
        <v>178</v>
      </c>
      <c r="K366">
        <f>T365+1</f>
        <v>411</v>
      </c>
      <c r="L366">
        <f>K366+1</f>
        <v>412</v>
      </c>
      <c r="M366">
        <f t="shared" ref="M366:T366" si="367">L366+1</f>
        <v>413</v>
      </c>
      <c r="N366">
        <f t="shared" si="367"/>
        <v>414</v>
      </c>
      <c r="O366">
        <f t="shared" si="367"/>
        <v>415</v>
      </c>
      <c r="P366">
        <f t="shared" si="367"/>
        <v>416</v>
      </c>
      <c r="Q366">
        <f t="shared" si="367"/>
        <v>417</v>
      </c>
      <c r="R366">
        <f t="shared" si="367"/>
        <v>418</v>
      </c>
      <c r="S366">
        <f t="shared" si="367"/>
        <v>419</v>
      </c>
      <c r="T366">
        <f t="shared" si="367"/>
        <v>420</v>
      </c>
      <c r="U366">
        <f t="shared" si="282"/>
        <v>411</v>
      </c>
      <c r="V366">
        <f t="shared" ref="V366:AD366" si="368">U366+1</f>
        <v>412</v>
      </c>
      <c r="W366">
        <f t="shared" si="368"/>
        <v>413</v>
      </c>
      <c r="X366">
        <f t="shared" si="368"/>
        <v>414</v>
      </c>
      <c r="Y366">
        <f t="shared" si="368"/>
        <v>415</v>
      </c>
      <c r="Z366">
        <f t="shared" si="368"/>
        <v>416</v>
      </c>
      <c r="AA366">
        <f t="shared" si="368"/>
        <v>417</v>
      </c>
      <c r="AB366">
        <f t="shared" si="368"/>
        <v>418</v>
      </c>
      <c r="AC366">
        <f t="shared" si="368"/>
        <v>419</v>
      </c>
      <c r="AD366">
        <f t="shared" si="368"/>
        <v>420</v>
      </c>
      <c r="AE366">
        <f t="shared" si="265"/>
        <v>1</v>
      </c>
    </row>
    <row r="367" spans="1:31" x14ac:dyDescent="0.25">
      <c r="A367" t="s">
        <v>179</v>
      </c>
      <c r="K367">
        <f t="shared" ref="K367:K371" si="369">T366+1</f>
        <v>421</v>
      </c>
      <c r="L367">
        <f t="shared" ref="L367:T367" si="370">K367+1</f>
        <v>422</v>
      </c>
      <c r="M367">
        <f t="shared" si="370"/>
        <v>423</v>
      </c>
      <c r="N367">
        <f t="shared" si="370"/>
        <v>424</v>
      </c>
      <c r="O367">
        <f t="shared" si="370"/>
        <v>425</v>
      </c>
      <c r="P367">
        <f t="shared" si="370"/>
        <v>426</v>
      </c>
      <c r="Q367">
        <f t="shared" si="370"/>
        <v>427</v>
      </c>
      <c r="R367">
        <f t="shared" si="370"/>
        <v>428</v>
      </c>
      <c r="S367">
        <f t="shared" si="370"/>
        <v>429</v>
      </c>
      <c r="T367">
        <f t="shared" si="370"/>
        <v>430</v>
      </c>
      <c r="U367">
        <f t="shared" si="282"/>
        <v>421</v>
      </c>
      <c r="V367">
        <f t="shared" ref="V367:AD367" si="371">U367+1</f>
        <v>422</v>
      </c>
      <c r="W367">
        <f t="shared" si="371"/>
        <v>423</v>
      </c>
      <c r="X367">
        <f t="shared" si="371"/>
        <v>424</v>
      </c>
      <c r="Y367">
        <f t="shared" si="371"/>
        <v>425</v>
      </c>
      <c r="Z367">
        <f t="shared" si="371"/>
        <v>426</v>
      </c>
      <c r="AA367">
        <f t="shared" si="371"/>
        <v>427</v>
      </c>
      <c r="AB367">
        <f t="shared" si="371"/>
        <v>428</v>
      </c>
      <c r="AC367">
        <f t="shared" si="371"/>
        <v>429</v>
      </c>
      <c r="AD367">
        <f t="shared" si="371"/>
        <v>430</v>
      </c>
      <c r="AE367">
        <f t="shared" si="265"/>
        <v>1</v>
      </c>
    </row>
    <row r="368" spans="1:31" x14ac:dyDescent="0.25">
      <c r="A368" t="s">
        <v>180</v>
      </c>
      <c r="K368">
        <f t="shared" si="369"/>
        <v>431</v>
      </c>
      <c r="L368">
        <f t="shared" ref="L368:T368" si="372">K368+1</f>
        <v>432</v>
      </c>
      <c r="M368">
        <f t="shared" si="372"/>
        <v>433</v>
      </c>
      <c r="N368">
        <f t="shared" si="372"/>
        <v>434</v>
      </c>
      <c r="O368">
        <f t="shared" si="372"/>
        <v>435</v>
      </c>
      <c r="P368">
        <f t="shared" si="372"/>
        <v>436</v>
      </c>
      <c r="Q368">
        <f t="shared" si="372"/>
        <v>437</v>
      </c>
      <c r="R368">
        <f t="shared" si="372"/>
        <v>438</v>
      </c>
      <c r="S368">
        <f t="shared" si="372"/>
        <v>439</v>
      </c>
      <c r="T368">
        <f t="shared" si="372"/>
        <v>440</v>
      </c>
      <c r="U368">
        <f t="shared" si="282"/>
        <v>431</v>
      </c>
      <c r="V368">
        <f t="shared" ref="V368:AD368" si="373">U368+1</f>
        <v>432</v>
      </c>
      <c r="W368">
        <f t="shared" si="373"/>
        <v>433</v>
      </c>
      <c r="X368">
        <f t="shared" si="373"/>
        <v>434</v>
      </c>
      <c r="Y368">
        <f t="shared" si="373"/>
        <v>435</v>
      </c>
      <c r="Z368">
        <f t="shared" si="373"/>
        <v>436</v>
      </c>
      <c r="AA368">
        <f t="shared" si="373"/>
        <v>437</v>
      </c>
      <c r="AB368">
        <f t="shared" si="373"/>
        <v>438</v>
      </c>
      <c r="AC368">
        <f t="shared" si="373"/>
        <v>439</v>
      </c>
      <c r="AD368">
        <f t="shared" si="373"/>
        <v>440</v>
      </c>
      <c r="AE368">
        <f t="shared" si="265"/>
        <v>1</v>
      </c>
    </row>
    <row r="369" spans="1:53" x14ac:dyDescent="0.25">
      <c r="K369">
        <f t="shared" si="369"/>
        <v>441</v>
      </c>
      <c r="L369">
        <f t="shared" ref="L369:T369" si="374">K369+1</f>
        <v>442</v>
      </c>
      <c r="M369">
        <f t="shared" si="374"/>
        <v>443</v>
      </c>
      <c r="N369">
        <f t="shared" si="374"/>
        <v>444</v>
      </c>
      <c r="O369">
        <f t="shared" si="374"/>
        <v>445</v>
      </c>
      <c r="P369">
        <f t="shared" si="374"/>
        <v>446</v>
      </c>
      <c r="Q369">
        <f t="shared" si="374"/>
        <v>447</v>
      </c>
      <c r="R369">
        <f t="shared" si="374"/>
        <v>448</v>
      </c>
      <c r="S369">
        <f t="shared" si="374"/>
        <v>449</v>
      </c>
      <c r="T369">
        <f t="shared" si="374"/>
        <v>450</v>
      </c>
      <c r="U369">
        <f t="shared" si="282"/>
        <v>441</v>
      </c>
      <c r="V369">
        <f t="shared" ref="V369:AD369" si="375">U369+1</f>
        <v>442</v>
      </c>
      <c r="W369">
        <f t="shared" si="375"/>
        <v>443</v>
      </c>
      <c r="X369">
        <f t="shared" si="375"/>
        <v>444</v>
      </c>
      <c r="Y369">
        <f t="shared" si="375"/>
        <v>445</v>
      </c>
      <c r="Z369">
        <f t="shared" si="375"/>
        <v>446</v>
      </c>
      <c r="AA369">
        <f t="shared" si="375"/>
        <v>447</v>
      </c>
      <c r="AB369">
        <f t="shared" si="375"/>
        <v>448</v>
      </c>
      <c r="AC369">
        <f t="shared" si="375"/>
        <v>449</v>
      </c>
      <c r="AD369">
        <f t="shared" si="375"/>
        <v>450</v>
      </c>
      <c r="AE369">
        <f t="shared" si="265"/>
        <v>1</v>
      </c>
    </row>
    <row r="370" spans="1:53" x14ac:dyDescent="0.25">
      <c r="K370">
        <f t="shared" si="369"/>
        <v>451</v>
      </c>
      <c r="L370">
        <f t="shared" ref="L370:T370" si="376">K370+1</f>
        <v>452</v>
      </c>
      <c r="M370">
        <f t="shared" si="376"/>
        <v>453</v>
      </c>
      <c r="N370">
        <f t="shared" si="376"/>
        <v>454</v>
      </c>
      <c r="O370">
        <f t="shared" si="376"/>
        <v>455</v>
      </c>
      <c r="P370">
        <f t="shared" si="376"/>
        <v>456</v>
      </c>
      <c r="Q370">
        <f t="shared" si="376"/>
        <v>457</v>
      </c>
      <c r="R370">
        <f t="shared" si="376"/>
        <v>458</v>
      </c>
      <c r="S370">
        <f t="shared" si="376"/>
        <v>459</v>
      </c>
      <c r="T370">
        <f t="shared" si="376"/>
        <v>460</v>
      </c>
      <c r="U370">
        <f t="shared" si="282"/>
        <v>451</v>
      </c>
      <c r="V370">
        <f t="shared" ref="V370:AD370" si="377">U370+1</f>
        <v>452</v>
      </c>
      <c r="W370">
        <f t="shared" si="377"/>
        <v>453</v>
      </c>
      <c r="X370">
        <f t="shared" si="377"/>
        <v>454</v>
      </c>
      <c r="Y370">
        <f t="shared" si="377"/>
        <v>455</v>
      </c>
      <c r="Z370">
        <f t="shared" si="377"/>
        <v>456</v>
      </c>
      <c r="AA370">
        <f t="shared" si="377"/>
        <v>457</v>
      </c>
      <c r="AB370">
        <f t="shared" si="377"/>
        <v>458</v>
      </c>
      <c r="AC370">
        <f t="shared" si="377"/>
        <v>459</v>
      </c>
      <c r="AD370">
        <f t="shared" si="377"/>
        <v>460</v>
      </c>
      <c r="AE370">
        <f t="shared" si="265"/>
        <v>1</v>
      </c>
    </row>
    <row r="371" spans="1:53" x14ac:dyDescent="0.25">
      <c r="K371">
        <f t="shared" si="369"/>
        <v>461</v>
      </c>
      <c r="L371">
        <f t="shared" ref="L371:T371" si="378">K371+1</f>
        <v>462</v>
      </c>
      <c r="M371">
        <f t="shared" si="378"/>
        <v>463</v>
      </c>
      <c r="N371">
        <f t="shared" si="378"/>
        <v>464</v>
      </c>
      <c r="O371">
        <f t="shared" si="378"/>
        <v>465</v>
      </c>
      <c r="P371">
        <f t="shared" si="378"/>
        <v>466</v>
      </c>
      <c r="Q371">
        <f t="shared" si="378"/>
        <v>467</v>
      </c>
      <c r="R371">
        <f t="shared" si="378"/>
        <v>468</v>
      </c>
      <c r="S371">
        <f t="shared" si="378"/>
        <v>469</v>
      </c>
      <c r="T371">
        <f t="shared" si="378"/>
        <v>470</v>
      </c>
      <c r="U371">
        <f t="shared" si="282"/>
        <v>461</v>
      </c>
      <c r="V371">
        <f t="shared" ref="V371:AD371" si="379">U371+1</f>
        <v>462</v>
      </c>
      <c r="W371">
        <f t="shared" si="379"/>
        <v>463</v>
      </c>
      <c r="X371">
        <f t="shared" si="379"/>
        <v>464</v>
      </c>
      <c r="Y371">
        <f t="shared" si="379"/>
        <v>465</v>
      </c>
      <c r="Z371">
        <f t="shared" si="379"/>
        <v>466</v>
      </c>
      <c r="AA371">
        <f t="shared" si="379"/>
        <v>467</v>
      </c>
      <c r="AB371">
        <f t="shared" si="379"/>
        <v>468</v>
      </c>
      <c r="AC371">
        <f t="shared" si="379"/>
        <v>469</v>
      </c>
      <c r="AD371">
        <f t="shared" si="379"/>
        <v>470</v>
      </c>
      <c r="AE371">
        <f t="shared" si="265"/>
        <v>1</v>
      </c>
    </row>
    <row r="373" spans="1:53" x14ac:dyDescent="0.25">
      <c r="A373" t="s">
        <v>192</v>
      </c>
      <c r="B373" t="s">
        <v>193</v>
      </c>
      <c r="C373" t="s">
        <v>109</v>
      </c>
      <c r="D373" t="s">
        <v>110</v>
      </c>
      <c r="E373" t="s">
        <v>111</v>
      </c>
      <c r="F373" t="s">
        <v>112</v>
      </c>
      <c r="G373" t="s">
        <v>113</v>
      </c>
      <c r="H373" t="s">
        <v>114</v>
      </c>
      <c r="I373" t="s">
        <v>115</v>
      </c>
      <c r="J373" t="s">
        <v>135</v>
      </c>
      <c r="K373" t="s">
        <v>136</v>
      </c>
      <c r="L373" t="s">
        <v>194</v>
      </c>
      <c r="M373" t="s">
        <v>195</v>
      </c>
      <c r="N373" t="s">
        <v>196</v>
      </c>
      <c r="O373" t="s">
        <v>197</v>
      </c>
      <c r="P373" t="s">
        <v>198</v>
      </c>
      <c r="Q373" t="s">
        <v>199</v>
      </c>
      <c r="R373" t="s">
        <v>200</v>
      </c>
      <c r="S373" t="s">
        <v>201</v>
      </c>
      <c r="T373" t="s">
        <v>202</v>
      </c>
      <c r="U373" t="s">
        <v>203</v>
      </c>
      <c r="V373" t="s">
        <v>204</v>
      </c>
      <c r="W373" t="s">
        <v>205</v>
      </c>
      <c r="X373" t="s">
        <v>206</v>
      </c>
      <c r="Y373" t="s">
        <v>207</v>
      </c>
      <c r="Z373" t="s">
        <v>208</v>
      </c>
      <c r="AB373" t="s">
        <v>239</v>
      </c>
      <c r="AC373" t="s">
        <v>134</v>
      </c>
      <c r="AD373" t="s">
        <v>109</v>
      </c>
      <c r="AE373" t="s">
        <v>110</v>
      </c>
      <c r="AF373" t="s">
        <v>111</v>
      </c>
      <c r="AG373" t="s">
        <v>112</v>
      </c>
      <c r="AH373" t="s">
        <v>113</v>
      </c>
      <c r="AI373" t="s">
        <v>114</v>
      </c>
      <c r="AJ373" t="s">
        <v>115</v>
      </c>
      <c r="AK373" t="s">
        <v>135</v>
      </c>
      <c r="AL373" t="s">
        <v>136</v>
      </c>
      <c r="AM373" t="s">
        <v>194</v>
      </c>
      <c r="AN373" t="s">
        <v>195</v>
      </c>
      <c r="AO373" t="s">
        <v>196</v>
      </c>
      <c r="AP373" t="s">
        <v>197</v>
      </c>
      <c r="AQ373" t="s">
        <v>198</v>
      </c>
      <c r="AR373" t="s">
        <v>199</v>
      </c>
      <c r="AS373" t="s">
        <v>200</v>
      </c>
      <c r="AT373" t="s">
        <v>201</v>
      </c>
      <c r="AU373" t="s">
        <v>202</v>
      </c>
      <c r="AV373" t="s">
        <v>203</v>
      </c>
      <c r="AW373" t="s">
        <v>204</v>
      </c>
      <c r="AX373" t="s">
        <v>205</v>
      </c>
      <c r="AY373" t="s">
        <v>206</v>
      </c>
      <c r="AZ373" t="s">
        <v>207</v>
      </c>
      <c r="BA373" t="s">
        <v>208</v>
      </c>
    </row>
    <row r="374" spans="1:53" x14ac:dyDescent="0.25">
      <c r="A374" t="s">
        <v>124</v>
      </c>
      <c r="B374">
        <v>1</v>
      </c>
      <c r="AB374" t="s">
        <v>121</v>
      </c>
      <c r="AC374">
        <v>0</v>
      </c>
    </row>
    <row r="375" spans="1:53" x14ac:dyDescent="0.25">
      <c r="A375" t="s">
        <v>185</v>
      </c>
      <c r="B375">
        <v>0</v>
      </c>
      <c r="C375">
        <f>B375+15</f>
        <v>15</v>
      </c>
      <c r="D375">
        <f>C375+15</f>
        <v>30</v>
      </c>
      <c r="E375">
        <f t="shared" ref="E375:J375" si="380">D375+15</f>
        <v>45</v>
      </c>
      <c r="F375">
        <f t="shared" si="380"/>
        <v>60</v>
      </c>
      <c r="G375">
        <f t="shared" si="380"/>
        <v>75</v>
      </c>
      <c r="H375">
        <f t="shared" si="380"/>
        <v>90</v>
      </c>
      <c r="I375">
        <f t="shared" si="380"/>
        <v>105</v>
      </c>
      <c r="J375">
        <f t="shared" si="380"/>
        <v>120</v>
      </c>
      <c r="K375">
        <f t="shared" ref="K375:Z375" si="381">J375+15</f>
        <v>135</v>
      </c>
      <c r="L375">
        <f t="shared" si="381"/>
        <v>150</v>
      </c>
      <c r="M375">
        <f t="shared" si="381"/>
        <v>165</v>
      </c>
      <c r="N375">
        <f t="shared" si="381"/>
        <v>180</v>
      </c>
      <c r="O375">
        <f t="shared" si="381"/>
        <v>195</v>
      </c>
      <c r="P375">
        <f t="shared" si="381"/>
        <v>210</v>
      </c>
      <c r="Q375">
        <f t="shared" si="381"/>
        <v>225</v>
      </c>
      <c r="R375">
        <f t="shared" si="381"/>
        <v>240</v>
      </c>
      <c r="S375">
        <f t="shared" si="381"/>
        <v>255</v>
      </c>
      <c r="T375">
        <f t="shared" si="381"/>
        <v>270</v>
      </c>
      <c r="U375">
        <f t="shared" si="381"/>
        <v>285</v>
      </c>
      <c r="V375">
        <f t="shared" si="381"/>
        <v>300</v>
      </c>
      <c r="W375">
        <f t="shared" si="381"/>
        <v>315</v>
      </c>
      <c r="X375">
        <f t="shared" si="381"/>
        <v>330</v>
      </c>
      <c r="Y375">
        <f t="shared" si="381"/>
        <v>345</v>
      </c>
      <c r="Z375">
        <f t="shared" si="381"/>
        <v>360</v>
      </c>
      <c r="AB375" t="s">
        <v>122</v>
      </c>
      <c r="AC375">
        <v>-1</v>
      </c>
    </row>
    <row r="376" spans="1:53" x14ac:dyDescent="0.25">
      <c r="A376" t="s">
        <v>126</v>
      </c>
      <c r="B376">
        <v>1</v>
      </c>
      <c r="C376">
        <v>1</v>
      </c>
      <c r="D376">
        <v>1</v>
      </c>
      <c r="E376">
        <v>1</v>
      </c>
      <c r="F376">
        <v>1</v>
      </c>
      <c r="G376">
        <v>1</v>
      </c>
      <c r="H376">
        <v>1</v>
      </c>
      <c r="I376">
        <v>1</v>
      </c>
      <c r="J376">
        <v>1</v>
      </c>
      <c r="K376">
        <v>1</v>
      </c>
      <c r="L376">
        <v>1</v>
      </c>
      <c r="M376">
        <v>1</v>
      </c>
      <c r="N376">
        <v>1</v>
      </c>
      <c r="O376">
        <v>1</v>
      </c>
      <c r="P376">
        <v>1</v>
      </c>
      <c r="Q376">
        <v>1</v>
      </c>
      <c r="R376">
        <v>1</v>
      </c>
      <c r="S376">
        <v>1</v>
      </c>
      <c r="T376">
        <v>1</v>
      </c>
      <c r="U376">
        <v>1</v>
      </c>
      <c r="V376">
        <v>1</v>
      </c>
      <c r="W376">
        <v>1</v>
      </c>
      <c r="X376">
        <v>1</v>
      </c>
      <c r="Y376">
        <v>1</v>
      </c>
      <c r="Z376">
        <v>1</v>
      </c>
      <c r="AB376" t="s">
        <v>123</v>
      </c>
      <c r="AC376">
        <v>0</v>
      </c>
    </row>
    <row r="377" spans="1:53" x14ac:dyDescent="0.25">
      <c r="A377" t="s">
        <v>125</v>
      </c>
      <c r="B377">
        <v>1</v>
      </c>
      <c r="C377">
        <v>1</v>
      </c>
      <c r="D377">
        <v>1</v>
      </c>
      <c r="E377">
        <v>1</v>
      </c>
      <c r="F377">
        <v>1</v>
      </c>
      <c r="G377">
        <v>1</v>
      </c>
      <c r="H377">
        <v>1</v>
      </c>
      <c r="I377">
        <v>1</v>
      </c>
      <c r="J377">
        <v>1</v>
      </c>
      <c r="K377">
        <v>1</v>
      </c>
      <c r="L377">
        <v>1</v>
      </c>
      <c r="M377">
        <v>1</v>
      </c>
      <c r="N377">
        <v>1</v>
      </c>
      <c r="O377">
        <v>1</v>
      </c>
      <c r="P377">
        <v>1</v>
      </c>
      <c r="Q377">
        <v>1</v>
      </c>
      <c r="R377">
        <v>1</v>
      </c>
      <c r="S377">
        <v>1</v>
      </c>
      <c r="T377">
        <v>1</v>
      </c>
      <c r="U377">
        <v>1</v>
      </c>
      <c r="V377">
        <v>1</v>
      </c>
      <c r="W377">
        <v>1</v>
      </c>
      <c r="X377">
        <v>1</v>
      </c>
      <c r="Y377">
        <v>1</v>
      </c>
      <c r="Z377">
        <v>1</v>
      </c>
      <c r="AB377" t="s">
        <v>124</v>
      </c>
      <c r="AC377">
        <v>1</v>
      </c>
    </row>
    <row r="378" spans="1:53" x14ac:dyDescent="0.25">
      <c r="A378" t="s">
        <v>127</v>
      </c>
      <c r="B378">
        <v>1</v>
      </c>
      <c r="C378">
        <v>1</v>
      </c>
      <c r="D378">
        <v>1</v>
      </c>
      <c r="E378">
        <v>1</v>
      </c>
      <c r="F378">
        <v>1</v>
      </c>
      <c r="G378">
        <v>1</v>
      </c>
      <c r="H378">
        <v>1</v>
      </c>
      <c r="I378">
        <v>1</v>
      </c>
      <c r="J378">
        <v>1</v>
      </c>
      <c r="K378">
        <v>1</v>
      </c>
      <c r="L378">
        <v>1</v>
      </c>
      <c r="M378">
        <v>1</v>
      </c>
      <c r="N378">
        <v>1</v>
      </c>
      <c r="O378">
        <v>1</v>
      </c>
      <c r="P378">
        <v>1</v>
      </c>
      <c r="Q378">
        <v>1</v>
      </c>
      <c r="R378">
        <v>1</v>
      </c>
      <c r="S378">
        <v>1</v>
      </c>
      <c r="T378">
        <v>1</v>
      </c>
      <c r="U378">
        <v>1</v>
      </c>
      <c r="V378">
        <v>1</v>
      </c>
      <c r="W378">
        <v>1</v>
      </c>
      <c r="X378">
        <v>1</v>
      </c>
      <c r="Y378">
        <v>1</v>
      </c>
      <c r="Z378">
        <v>1</v>
      </c>
      <c r="AB378" t="s">
        <v>126</v>
      </c>
      <c r="AC378">
        <v>-2</v>
      </c>
      <c r="AD378">
        <v>-2</v>
      </c>
      <c r="AE378">
        <v>-2</v>
      </c>
      <c r="AF378">
        <v>-2</v>
      </c>
      <c r="AG378">
        <v>-2</v>
      </c>
      <c r="AH378">
        <v>-1</v>
      </c>
      <c r="AI378">
        <v>-1</v>
      </c>
      <c r="AJ378">
        <v>-1</v>
      </c>
      <c r="AK378">
        <v>-1</v>
      </c>
      <c r="AL378">
        <v>-1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1</v>
      </c>
      <c r="AS378">
        <v>1</v>
      </c>
      <c r="AT378">
        <v>1</v>
      </c>
      <c r="AU378">
        <v>1</v>
      </c>
      <c r="AV378">
        <v>1</v>
      </c>
      <c r="AW378">
        <v>2</v>
      </c>
      <c r="AX378">
        <v>2</v>
      </c>
      <c r="AY378">
        <v>2</v>
      </c>
      <c r="AZ378">
        <v>2</v>
      </c>
      <c r="BA378">
        <v>2</v>
      </c>
    </row>
    <row r="379" spans="1:53" x14ac:dyDescent="0.25">
      <c r="A379" t="s">
        <v>186</v>
      </c>
      <c r="B379">
        <f>SIN(RADIANS(B375))*B377</f>
        <v>0</v>
      </c>
      <c r="C379">
        <f>SIN(RADIANS(C375))*C377</f>
        <v>0.25881904510252074</v>
      </c>
      <c r="D379">
        <f>SIN(RADIANS(D375))*D377</f>
        <v>0.49999999999999994</v>
      </c>
      <c r="E379">
        <f t="shared" ref="E379:J379" si="382">SIN(RADIANS(E375))*E377</f>
        <v>0.70710678118654746</v>
      </c>
      <c r="F379">
        <f t="shared" si="382"/>
        <v>0.8660254037844386</v>
      </c>
      <c r="G379">
        <f t="shared" si="382"/>
        <v>0.96592582628906831</v>
      </c>
      <c r="H379">
        <f t="shared" si="382"/>
        <v>1</v>
      </c>
      <c r="I379">
        <f t="shared" si="382"/>
        <v>0.96592582628906831</v>
      </c>
      <c r="J379">
        <f t="shared" si="382"/>
        <v>0.86602540378443871</v>
      </c>
      <c r="K379">
        <f t="shared" ref="K379:Z379" si="383">SIN(RADIANS(K375))*K377</f>
        <v>0.70710678118654757</v>
      </c>
      <c r="L379">
        <f t="shared" si="383"/>
        <v>0.49999999999999994</v>
      </c>
      <c r="M379">
        <f t="shared" si="383"/>
        <v>0.25881904510252102</v>
      </c>
      <c r="N379">
        <f t="shared" si="383"/>
        <v>1.22514845490862E-16</v>
      </c>
      <c r="O379">
        <f t="shared" si="383"/>
        <v>-0.25881904510252079</v>
      </c>
      <c r="P379">
        <f t="shared" si="383"/>
        <v>-0.50000000000000011</v>
      </c>
      <c r="Q379">
        <f t="shared" si="383"/>
        <v>-0.70710678118654746</v>
      </c>
      <c r="R379">
        <f t="shared" si="383"/>
        <v>-0.86602540378443837</v>
      </c>
      <c r="S379">
        <f t="shared" si="383"/>
        <v>-0.96592582628906831</v>
      </c>
      <c r="T379">
        <f t="shared" si="383"/>
        <v>-1</v>
      </c>
      <c r="U379">
        <f t="shared" si="383"/>
        <v>-0.96592582628906842</v>
      </c>
      <c r="V379">
        <f t="shared" si="383"/>
        <v>-0.8660254037844386</v>
      </c>
      <c r="W379">
        <f t="shared" si="383"/>
        <v>-0.70710678118654768</v>
      </c>
      <c r="X379">
        <f t="shared" si="383"/>
        <v>-0.50000000000000044</v>
      </c>
      <c r="Y379">
        <f t="shared" si="383"/>
        <v>-0.25881904510252068</v>
      </c>
      <c r="Z379">
        <f t="shared" si="383"/>
        <v>-2.45029690981724E-16</v>
      </c>
      <c r="AB379" t="s">
        <v>125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</row>
    <row r="380" spans="1:53" x14ac:dyDescent="0.25">
      <c r="A380" t="s">
        <v>187</v>
      </c>
      <c r="B380">
        <f>COS(RADIANS(B375))*B378</f>
        <v>1</v>
      </c>
      <c r="C380">
        <f>COS(RADIANS(C375))*C378</f>
        <v>0.96592582628906831</v>
      </c>
      <c r="D380">
        <f>COS(RADIANS(D375))*D378</f>
        <v>0.86602540378443871</v>
      </c>
      <c r="E380">
        <f t="shared" ref="E380:J380" si="384">COS(RADIANS(E375))*E378</f>
        <v>0.70710678118654757</v>
      </c>
      <c r="F380">
        <f t="shared" si="384"/>
        <v>0.50000000000000011</v>
      </c>
      <c r="G380">
        <f t="shared" si="384"/>
        <v>0.25881904510252074</v>
      </c>
      <c r="H380">
        <f t="shared" si="384"/>
        <v>6.1257422745431001E-17</v>
      </c>
      <c r="I380">
        <f t="shared" si="384"/>
        <v>-0.25881904510252085</v>
      </c>
      <c r="J380">
        <f t="shared" si="384"/>
        <v>-0.49999999999999978</v>
      </c>
      <c r="K380">
        <f t="shared" ref="K380:Z380" si="385">COS(RADIANS(K375))*K378</f>
        <v>-0.70710678118654746</v>
      </c>
      <c r="L380">
        <f t="shared" si="385"/>
        <v>-0.86602540378443871</v>
      </c>
      <c r="M380">
        <f t="shared" si="385"/>
        <v>-0.9659258262890682</v>
      </c>
      <c r="N380">
        <f t="shared" si="385"/>
        <v>-1</v>
      </c>
      <c r="O380">
        <f t="shared" si="385"/>
        <v>-0.96592582628906831</v>
      </c>
      <c r="P380">
        <f t="shared" si="385"/>
        <v>-0.8660254037844386</v>
      </c>
      <c r="Q380">
        <f t="shared" si="385"/>
        <v>-0.70710678118654768</v>
      </c>
      <c r="R380">
        <f t="shared" si="385"/>
        <v>-0.50000000000000044</v>
      </c>
      <c r="S380">
        <f t="shared" si="385"/>
        <v>-0.25881904510252063</v>
      </c>
      <c r="T380">
        <f t="shared" si="385"/>
        <v>-1.83772268236293E-16</v>
      </c>
      <c r="U380">
        <f t="shared" si="385"/>
        <v>0.2588190451025203</v>
      </c>
      <c r="V380">
        <f t="shared" si="385"/>
        <v>0.50000000000000011</v>
      </c>
      <c r="W380">
        <f t="shared" si="385"/>
        <v>0.70710678118654735</v>
      </c>
      <c r="X380">
        <f t="shared" si="385"/>
        <v>0.86602540378443837</v>
      </c>
      <c r="Y380">
        <f t="shared" si="385"/>
        <v>0.96592582628906831</v>
      </c>
      <c r="Z380">
        <f t="shared" si="385"/>
        <v>1</v>
      </c>
      <c r="AB380" t="s">
        <v>127</v>
      </c>
      <c r="AC380">
        <v>-2</v>
      </c>
      <c r="AD380">
        <v>-1</v>
      </c>
      <c r="AE380">
        <v>0</v>
      </c>
      <c r="AF380">
        <v>1</v>
      </c>
      <c r="AG380">
        <v>2</v>
      </c>
      <c r="AH380">
        <v>-2</v>
      </c>
      <c r="AI380">
        <v>-1</v>
      </c>
      <c r="AJ380">
        <v>0</v>
      </c>
      <c r="AK380">
        <v>1</v>
      </c>
      <c r="AL380">
        <v>2</v>
      </c>
      <c r="AM380">
        <v>-2</v>
      </c>
      <c r="AN380">
        <v>-1</v>
      </c>
      <c r="AO380">
        <v>0</v>
      </c>
      <c r="AP380">
        <v>1</v>
      </c>
      <c r="AQ380">
        <v>2</v>
      </c>
      <c r="AR380">
        <v>-2</v>
      </c>
      <c r="AS380">
        <v>-1</v>
      </c>
      <c r="AT380">
        <v>0</v>
      </c>
      <c r="AU380">
        <v>1</v>
      </c>
      <c r="AV380">
        <v>2</v>
      </c>
      <c r="AW380">
        <v>-2</v>
      </c>
      <c r="AX380">
        <v>-1</v>
      </c>
      <c r="AY380">
        <v>0</v>
      </c>
      <c r="AZ380">
        <v>1</v>
      </c>
      <c r="BA380">
        <v>2</v>
      </c>
    </row>
    <row r="381" spans="1:53" x14ac:dyDescent="0.25">
      <c r="A381" t="s">
        <v>190</v>
      </c>
      <c r="B381">
        <f>SIN(RADIANS(B375))*B378</f>
        <v>0</v>
      </c>
      <c r="C381">
        <f>SIN(RADIANS(C375))*C378</f>
        <v>0.25881904510252074</v>
      </c>
      <c r="D381">
        <f>SIN(RADIANS(D375))*D378</f>
        <v>0.49999999999999994</v>
      </c>
      <c r="E381">
        <f t="shared" ref="E381:J381" si="386">SIN(RADIANS(E375))*E378</f>
        <v>0.70710678118654746</v>
      </c>
      <c r="F381">
        <f t="shared" si="386"/>
        <v>0.8660254037844386</v>
      </c>
      <c r="G381">
        <f t="shared" si="386"/>
        <v>0.96592582628906831</v>
      </c>
      <c r="H381">
        <f t="shared" si="386"/>
        <v>1</v>
      </c>
      <c r="I381">
        <f t="shared" si="386"/>
        <v>0.96592582628906831</v>
      </c>
      <c r="J381">
        <f t="shared" si="386"/>
        <v>0.86602540378443871</v>
      </c>
      <c r="K381">
        <f t="shared" ref="K381:Z381" si="387">SIN(RADIANS(K375))*K378</f>
        <v>0.70710678118654757</v>
      </c>
      <c r="L381">
        <f t="shared" si="387"/>
        <v>0.49999999999999994</v>
      </c>
      <c r="M381">
        <f t="shared" si="387"/>
        <v>0.25881904510252102</v>
      </c>
      <c r="N381">
        <f t="shared" si="387"/>
        <v>1.22514845490862E-16</v>
      </c>
      <c r="O381">
        <f t="shared" si="387"/>
        <v>-0.25881904510252079</v>
      </c>
      <c r="P381">
        <f t="shared" si="387"/>
        <v>-0.50000000000000011</v>
      </c>
      <c r="Q381">
        <f t="shared" si="387"/>
        <v>-0.70710678118654746</v>
      </c>
      <c r="R381">
        <f t="shared" si="387"/>
        <v>-0.86602540378443837</v>
      </c>
      <c r="S381">
        <f t="shared" si="387"/>
        <v>-0.96592582628906831</v>
      </c>
      <c r="T381">
        <f t="shared" si="387"/>
        <v>-1</v>
      </c>
      <c r="U381">
        <f t="shared" si="387"/>
        <v>-0.96592582628906842</v>
      </c>
      <c r="V381">
        <f t="shared" si="387"/>
        <v>-0.8660254037844386</v>
      </c>
      <c r="W381">
        <f t="shared" si="387"/>
        <v>-0.70710678118654768</v>
      </c>
      <c r="X381">
        <f t="shared" si="387"/>
        <v>-0.50000000000000044</v>
      </c>
      <c r="Y381">
        <f t="shared" si="387"/>
        <v>-0.25881904510252068</v>
      </c>
      <c r="Z381">
        <f t="shared" si="387"/>
        <v>-2.45029690981724E-16</v>
      </c>
      <c r="AB381" t="s">
        <v>128</v>
      </c>
      <c r="AC381">
        <f>AC378-$AC$374</f>
        <v>-2</v>
      </c>
      <c r="AD381">
        <f t="shared" ref="AD381:AE381" si="388">AD378-$AC$374</f>
        <v>-2</v>
      </c>
      <c r="AE381">
        <f t="shared" si="388"/>
        <v>-2</v>
      </c>
      <c r="AF381">
        <f>AF378-$AC$374</f>
        <v>-2</v>
      </c>
      <c r="AG381">
        <f t="shared" ref="AG381" si="389">AG378-$AC$374</f>
        <v>-2</v>
      </c>
      <c r="AH381">
        <f>AH378-$AC$374</f>
        <v>-1</v>
      </c>
      <c r="AI381">
        <f>AI378-$AC$374</f>
        <v>-1</v>
      </c>
      <c r="AJ381">
        <f t="shared" ref="AJ381:AL381" si="390">AJ378-$AC$374</f>
        <v>-1</v>
      </c>
      <c r="AK381">
        <f t="shared" si="390"/>
        <v>-1</v>
      </c>
      <c r="AL381">
        <f t="shared" si="390"/>
        <v>-1</v>
      </c>
      <c r="AM381">
        <f t="shared" ref="AM381:AN381" si="391">AM378-$AC$374</f>
        <v>0</v>
      </c>
      <c r="AN381">
        <f t="shared" si="391"/>
        <v>0</v>
      </c>
      <c r="AO381">
        <f t="shared" ref="AO381:AS381" si="392">AO378-$AC$374</f>
        <v>0</v>
      </c>
      <c r="AP381">
        <f t="shared" si="392"/>
        <v>0</v>
      </c>
      <c r="AQ381">
        <f t="shared" si="392"/>
        <v>0</v>
      </c>
      <c r="AR381">
        <f t="shared" si="392"/>
        <v>1</v>
      </c>
      <c r="AS381">
        <f t="shared" si="392"/>
        <v>1</v>
      </c>
      <c r="AT381">
        <f t="shared" ref="AT381:AX381" si="393">AT378-$AC$374</f>
        <v>1</v>
      </c>
      <c r="AU381">
        <f t="shared" si="393"/>
        <v>1</v>
      </c>
      <c r="AV381">
        <f t="shared" si="393"/>
        <v>1</v>
      </c>
      <c r="AW381">
        <f t="shared" si="393"/>
        <v>2</v>
      </c>
      <c r="AX381">
        <f t="shared" si="393"/>
        <v>2</v>
      </c>
      <c r="AY381">
        <f t="shared" ref="AY381:BA381" si="394">AY378-$AC$374</f>
        <v>2</v>
      </c>
      <c r="AZ381">
        <f t="shared" si="394"/>
        <v>2</v>
      </c>
      <c r="BA381">
        <f t="shared" si="394"/>
        <v>2</v>
      </c>
    </row>
    <row r="382" spans="1:53" x14ac:dyDescent="0.25">
      <c r="A382" t="s">
        <v>191</v>
      </c>
      <c r="B382">
        <f>COS(RADIANS(B375))*B376</f>
        <v>1</v>
      </c>
      <c r="C382">
        <f>COS(RADIANS(C375))*C376</f>
        <v>0.96592582628906831</v>
      </c>
      <c r="D382">
        <f>COS(RADIANS(D375))*D376</f>
        <v>0.86602540378443871</v>
      </c>
      <c r="E382">
        <f t="shared" ref="E382:J382" si="395">COS(RADIANS(E375))*E376</f>
        <v>0.70710678118654757</v>
      </c>
      <c r="F382">
        <f t="shared" si="395"/>
        <v>0.50000000000000011</v>
      </c>
      <c r="G382">
        <f t="shared" si="395"/>
        <v>0.25881904510252074</v>
      </c>
      <c r="H382">
        <f t="shared" si="395"/>
        <v>6.1257422745431001E-17</v>
      </c>
      <c r="I382">
        <f t="shared" si="395"/>
        <v>-0.25881904510252085</v>
      </c>
      <c r="J382">
        <f t="shared" si="395"/>
        <v>-0.49999999999999978</v>
      </c>
      <c r="K382">
        <f t="shared" ref="K382:Z382" si="396">COS(RADIANS(K375))*K376</f>
        <v>-0.70710678118654746</v>
      </c>
      <c r="L382">
        <f t="shared" si="396"/>
        <v>-0.86602540378443871</v>
      </c>
      <c r="M382">
        <f t="shared" si="396"/>
        <v>-0.9659258262890682</v>
      </c>
      <c r="N382">
        <f t="shared" si="396"/>
        <v>-1</v>
      </c>
      <c r="O382">
        <f t="shared" si="396"/>
        <v>-0.96592582628906831</v>
      </c>
      <c r="P382">
        <f t="shared" si="396"/>
        <v>-0.8660254037844386</v>
      </c>
      <c r="Q382">
        <f t="shared" si="396"/>
        <v>-0.70710678118654768</v>
      </c>
      <c r="R382">
        <f t="shared" si="396"/>
        <v>-0.50000000000000044</v>
      </c>
      <c r="S382">
        <f t="shared" si="396"/>
        <v>-0.25881904510252063</v>
      </c>
      <c r="T382">
        <f t="shared" si="396"/>
        <v>-1.83772268236293E-16</v>
      </c>
      <c r="U382">
        <f t="shared" si="396"/>
        <v>0.2588190451025203</v>
      </c>
      <c r="V382">
        <f t="shared" si="396"/>
        <v>0.50000000000000011</v>
      </c>
      <c r="W382">
        <f t="shared" si="396"/>
        <v>0.70710678118654735</v>
      </c>
      <c r="X382">
        <f t="shared" si="396"/>
        <v>0.86602540378443837</v>
      </c>
      <c r="Y382">
        <f t="shared" si="396"/>
        <v>0.96592582628906831</v>
      </c>
      <c r="Z382">
        <f t="shared" si="396"/>
        <v>1</v>
      </c>
      <c r="AB382" t="s">
        <v>132</v>
      </c>
      <c r="AC382">
        <f>AC379-$AC$375</f>
        <v>1</v>
      </c>
      <c r="AD382">
        <f t="shared" ref="AD382:AE382" si="397">AD379-$AC$375</f>
        <v>1</v>
      </c>
      <c r="AE382">
        <f t="shared" si="397"/>
        <v>1</v>
      </c>
      <c r="AF382">
        <f>AF379-$AC$375</f>
        <v>1</v>
      </c>
      <c r="AG382">
        <f t="shared" ref="AG382" si="398">AG379-$AC$375</f>
        <v>1</v>
      </c>
      <c r="AH382">
        <f>AH379-$AC$375</f>
        <v>1</v>
      </c>
      <c r="AI382">
        <f>AI379-$AC$375</f>
        <v>1</v>
      </c>
      <c r="AJ382">
        <f t="shared" ref="AJ382:AL382" si="399">AJ379-$AC$375</f>
        <v>1</v>
      </c>
      <c r="AK382">
        <f t="shared" si="399"/>
        <v>1</v>
      </c>
      <c r="AL382">
        <f t="shared" si="399"/>
        <v>1</v>
      </c>
      <c r="AM382">
        <f t="shared" ref="AM382:AN382" si="400">AM379-$AC$375</f>
        <v>1</v>
      </c>
      <c r="AN382">
        <f t="shared" si="400"/>
        <v>1</v>
      </c>
      <c r="AO382">
        <f t="shared" ref="AO382:AS382" si="401">AO379-$AC$375</f>
        <v>1</v>
      </c>
      <c r="AP382">
        <f t="shared" si="401"/>
        <v>1</v>
      </c>
      <c r="AQ382">
        <f t="shared" si="401"/>
        <v>1</v>
      </c>
      <c r="AR382">
        <f t="shared" si="401"/>
        <v>1</v>
      </c>
      <c r="AS382">
        <f t="shared" si="401"/>
        <v>1</v>
      </c>
      <c r="AT382">
        <f t="shared" ref="AT382:AX382" si="402">AT379-$AC$375</f>
        <v>1</v>
      </c>
      <c r="AU382">
        <f t="shared" si="402"/>
        <v>1</v>
      </c>
      <c r="AV382">
        <f t="shared" si="402"/>
        <v>1</v>
      </c>
      <c r="AW382">
        <f t="shared" si="402"/>
        <v>1</v>
      </c>
      <c r="AX382">
        <f t="shared" si="402"/>
        <v>1</v>
      </c>
      <c r="AY382">
        <f t="shared" ref="AY382:BA382" si="403">AY379-$AC$375</f>
        <v>1</v>
      </c>
      <c r="AZ382">
        <f t="shared" si="403"/>
        <v>1</v>
      </c>
      <c r="BA382">
        <f t="shared" si="403"/>
        <v>1</v>
      </c>
    </row>
    <row r="383" spans="1:53" x14ac:dyDescent="0.25">
      <c r="A383" t="s">
        <v>189</v>
      </c>
      <c r="B383">
        <f>SIN(RADIANS(B375))*B376</f>
        <v>0</v>
      </c>
      <c r="C383">
        <f>SIN(RADIANS(C375))*C376</f>
        <v>0.25881904510252074</v>
      </c>
      <c r="D383">
        <f>SIN(RADIANS(D375))*D376</f>
        <v>0.49999999999999994</v>
      </c>
      <c r="E383">
        <f t="shared" ref="E383:J383" si="404">SIN(RADIANS(E375))*E376</f>
        <v>0.70710678118654746</v>
      </c>
      <c r="F383">
        <f t="shared" si="404"/>
        <v>0.8660254037844386</v>
      </c>
      <c r="G383">
        <f t="shared" si="404"/>
        <v>0.96592582628906831</v>
      </c>
      <c r="H383">
        <f t="shared" si="404"/>
        <v>1</v>
      </c>
      <c r="I383">
        <f t="shared" si="404"/>
        <v>0.96592582628906831</v>
      </c>
      <c r="J383">
        <f t="shared" si="404"/>
        <v>0.86602540378443871</v>
      </c>
      <c r="K383">
        <f t="shared" ref="K383:Z383" si="405">SIN(RADIANS(K375))*K376</f>
        <v>0.70710678118654757</v>
      </c>
      <c r="L383">
        <f t="shared" si="405"/>
        <v>0.49999999999999994</v>
      </c>
      <c r="M383">
        <f t="shared" si="405"/>
        <v>0.25881904510252102</v>
      </c>
      <c r="N383">
        <f t="shared" si="405"/>
        <v>1.22514845490862E-16</v>
      </c>
      <c r="O383">
        <f t="shared" si="405"/>
        <v>-0.25881904510252079</v>
      </c>
      <c r="P383">
        <f t="shared" si="405"/>
        <v>-0.50000000000000011</v>
      </c>
      <c r="Q383">
        <f t="shared" si="405"/>
        <v>-0.70710678118654746</v>
      </c>
      <c r="R383">
        <f t="shared" si="405"/>
        <v>-0.86602540378443837</v>
      </c>
      <c r="S383">
        <f t="shared" si="405"/>
        <v>-0.96592582628906831</v>
      </c>
      <c r="T383">
        <f t="shared" si="405"/>
        <v>-1</v>
      </c>
      <c r="U383">
        <f t="shared" si="405"/>
        <v>-0.96592582628906842</v>
      </c>
      <c r="V383">
        <f t="shared" si="405"/>
        <v>-0.8660254037844386</v>
      </c>
      <c r="W383">
        <f t="shared" si="405"/>
        <v>-0.70710678118654768</v>
      </c>
      <c r="X383">
        <f t="shared" si="405"/>
        <v>-0.50000000000000044</v>
      </c>
      <c r="Y383">
        <f t="shared" si="405"/>
        <v>-0.25881904510252068</v>
      </c>
      <c r="Z383">
        <f t="shared" si="405"/>
        <v>-2.45029690981724E-16</v>
      </c>
      <c r="AB383" t="s">
        <v>131</v>
      </c>
      <c r="AC383">
        <f>AC380-$AC$376</f>
        <v>-2</v>
      </c>
      <c r="AD383">
        <f t="shared" ref="AD383:AE383" si="406">AD380-$AC$376</f>
        <v>-1</v>
      </c>
      <c r="AE383">
        <f t="shared" si="406"/>
        <v>0</v>
      </c>
      <c r="AF383">
        <f>AF380-$AC$376</f>
        <v>1</v>
      </c>
      <c r="AG383">
        <f t="shared" ref="AG383" si="407">AG380-$AC$376</f>
        <v>2</v>
      </c>
      <c r="AH383">
        <f>AH380-$AC$376</f>
        <v>-2</v>
      </c>
      <c r="AI383">
        <f>AI380-$AC$376</f>
        <v>-1</v>
      </c>
      <c r="AJ383">
        <f t="shared" ref="AJ383:AL383" si="408">AJ380-$AC$376</f>
        <v>0</v>
      </c>
      <c r="AK383">
        <f t="shared" si="408"/>
        <v>1</v>
      </c>
      <c r="AL383">
        <f t="shared" si="408"/>
        <v>2</v>
      </c>
      <c r="AM383">
        <f t="shared" ref="AM383:AN383" si="409">AM380-$AC$376</f>
        <v>-2</v>
      </c>
      <c r="AN383">
        <f t="shared" si="409"/>
        <v>-1</v>
      </c>
      <c r="AO383">
        <f t="shared" ref="AO383:AS383" si="410">AO380-$AC$376</f>
        <v>0</v>
      </c>
      <c r="AP383">
        <f t="shared" si="410"/>
        <v>1</v>
      </c>
      <c r="AQ383">
        <f t="shared" si="410"/>
        <v>2</v>
      </c>
      <c r="AR383">
        <f t="shared" si="410"/>
        <v>-2</v>
      </c>
      <c r="AS383">
        <f t="shared" si="410"/>
        <v>-1</v>
      </c>
      <c r="AT383">
        <f t="shared" ref="AT383:AX383" si="411">AT380-$AC$376</f>
        <v>0</v>
      </c>
      <c r="AU383">
        <f t="shared" si="411"/>
        <v>1</v>
      </c>
      <c r="AV383">
        <f t="shared" si="411"/>
        <v>2</v>
      </c>
      <c r="AW383">
        <f t="shared" si="411"/>
        <v>-2</v>
      </c>
      <c r="AX383">
        <f t="shared" si="411"/>
        <v>-1</v>
      </c>
      <c r="AY383">
        <f t="shared" ref="AY383:BA383" si="412">AY380-$AC$376</f>
        <v>0</v>
      </c>
      <c r="AZ383">
        <f t="shared" si="412"/>
        <v>1</v>
      </c>
      <c r="BA383">
        <f t="shared" si="412"/>
        <v>2</v>
      </c>
    </row>
    <row r="384" spans="1:53" x14ac:dyDescent="0.25">
      <c r="A384" t="s">
        <v>188</v>
      </c>
      <c r="B384">
        <f>COS(RADIANS(B375))*B377</f>
        <v>1</v>
      </c>
      <c r="C384">
        <f>COS(RADIANS(C375))*C377</f>
        <v>0.96592582628906831</v>
      </c>
      <c r="D384">
        <f>COS(RADIANS(D375))*D377</f>
        <v>0.86602540378443871</v>
      </c>
      <c r="E384">
        <f t="shared" ref="E384:J384" si="413">COS(RADIANS(E375))*E377</f>
        <v>0.70710678118654757</v>
      </c>
      <c r="F384">
        <f t="shared" si="413"/>
        <v>0.50000000000000011</v>
      </c>
      <c r="G384">
        <f t="shared" si="413"/>
        <v>0.25881904510252074</v>
      </c>
      <c r="H384">
        <f t="shared" si="413"/>
        <v>6.1257422745431001E-17</v>
      </c>
      <c r="I384">
        <f t="shared" si="413"/>
        <v>-0.25881904510252085</v>
      </c>
      <c r="J384">
        <f t="shared" si="413"/>
        <v>-0.49999999999999978</v>
      </c>
      <c r="K384">
        <f t="shared" ref="K384:Z384" si="414">COS(RADIANS(K375))*K377</f>
        <v>-0.70710678118654746</v>
      </c>
      <c r="L384">
        <f t="shared" si="414"/>
        <v>-0.86602540378443871</v>
      </c>
      <c r="M384">
        <f t="shared" si="414"/>
        <v>-0.9659258262890682</v>
      </c>
      <c r="N384">
        <f t="shared" si="414"/>
        <v>-1</v>
      </c>
      <c r="O384">
        <f t="shared" si="414"/>
        <v>-0.96592582628906831</v>
      </c>
      <c r="P384">
        <f t="shared" si="414"/>
        <v>-0.8660254037844386</v>
      </c>
      <c r="Q384">
        <f t="shared" si="414"/>
        <v>-0.70710678118654768</v>
      </c>
      <c r="R384">
        <f t="shared" si="414"/>
        <v>-0.50000000000000044</v>
      </c>
      <c r="S384">
        <f t="shared" si="414"/>
        <v>-0.25881904510252063</v>
      </c>
      <c r="T384">
        <f t="shared" si="414"/>
        <v>-1.83772268236293E-16</v>
      </c>
      <c r="U384">
        <f t="shared" si="414"/>
        <v>0.2588190451025203</v>
      </c>
      <c r="V384">
        <f t="shared" si="414"/>
        <v>0.50000000000000011</v>
      </c>
      <c r="W384">
        <f t="shared" si="414"/>
        <v>0.70710678118654735</v>
      </c>
      <c r="X384">
        <f t="shared" si="414"/>
        <v>0.86602540378443837</v>
      </c>
      <c r="Y384">
        <f t="shared" si="414"/>
        <v>0.96592582628906831</v>
      </c>
      <c r="Z384">
        <f t="shared" si="414"/>
        <v>1</v>
      </c>
      <c r="AB384" t="s">
        <v>319</v>
      </c>
      <c r="AC384">
        <f>(AC381*$AC$377)/(AC383+$AC$377)</f>
        <v>2</v>
      </c>
      <c r="AD384" t="e">
        <f t="shared" ref="AD384:AE384" si="415">(AD381*$AC$377)/(AD383+$AC$377)</f>
        <v>#DIV/0!</v>
      </c>
      <c r="AE384">
        <f t="shared" si="415"/>
        <v>-2</v>
      </c>
      <c r="AF384">
        <f>(AF381*$AC$377)/(AF383+$AC$377)</f>
        <v>-1</v>
      </c>
      <c r="AG384">
        <f t="shared" ref="AG384" si="416">(AG381*$AC$377)/(AG383+$AC$377)</f>
        <v>-0.66666666666666663</v>
      </c>
      <c r="AH384">
        <f>(AH381*$AC$377)/(AH383+$AC$377)</f>
        <v>1</v>
      </c>
      <c r="AI384" t="e">
        <f>(AI381*$AC$377)/(AI383+$AC$377)</f>
        <v>#DIV/0!</v>
      </c>
      <c r="AJ384">
        <f t="shared" ref="AJ384:AL384" si="417">(AJ381*$AC$377)/(AJ383+$AC$377)</f>
        <v>-1</v>
      </c>
      <c r="AK384">
        <f t="shared" si="417"/>
        <v>-0.5</v>
      </c>
      <c r="AL384">
        <f t="shared" si="417"/>
        <v>-0.33333333333333331</v>
      </c>
      <c r="AM384">
        <f t="shared" ref="AM384" si="418">(AM381*$AC$377)/(AM383+$AC$377)</f>
        <v>0</v>
      </c>
      <c r="AN384" t="e">
        <f t="shared" ref="AN384" si="419">(AN381*$AC$377)/(AN383+$AC$377)</f>
        <v>#DIV/0!</v>
      </c>
      <c r="AO384">
        <f t="shared" ref="AO384" si="420">(AO381*$AC$377)/(AO383+$AC$377)</f>
        <v>0</v>
      </c>
      <c r="AP384">
        <f t="shared" ref="AP384" si="421">(AP381*$AC$377)/(AP383+$AC$377)</f>
        <v>0</v>
      </c>
      <c r="AQ384">
        <f t="shared" ref="AQ384" si="422">(AQ381*$AC$377)/(AQ383+$AC$377)</f>
        <v>0</v>
      </c>
      <c r="AR384">
        <f t="shared" ref="AR384" si="423">(AR381*$AC$377)/(AR383+$AC$377)</f>
        <v>-1</v>
      </c>
      <c r="AS384" t="e">
        <f t="shared" ref="AS384" si="424">(AS381*$AC$377)/(AS383+$AC$377)</f>
        <v>#DIV/0!</v>
      </c>
      <c r="AT384">
        <f t="shared" ref="AT384" si="425">(AT381*$AC$377)/(AT383+$AC$377)</f>
        <v>1</v>
      </c>
      <c r="AU384">
        <f t="shared" ref="AU384" si="426">(AU381*$AC$377)/(AU383+$AC$377)</f>
        <v>0.5</v>
      </c>
      <c r="AV384">
        <f t="shared" ref="AV384" si="427">(AV381*$AC$377)/(AV383+$AC$377)</f>
        <v>0.33333333333333331</v>
      </c>
      <c r="AW384">
        <f t="shared" ref="AW384" si="428">(AW381*$AC$377)/(AW383+$AC$377)</f>
        <v>-2</v>
      </c>
      <c r="AX384" t="e">
        <f t="shared" ref="AX384" si="429">(AX381*$AC$377)/(AX383+$AC$377)</f>
        <v>#DIV/0!</v>
      </c>
      <c r="AY384">
        <f t="shared" ref="AY384" si="430">(AY381*$AC$377)/(AY383+$AC$377)</f>
        <v>2</v>
      </c>
      <c r="AZ384">
        <f t="shared" ref="AZ384" si="431">(AZ381*$AC$377)/(AZ383+$AC$377)</f>
        <v>1</v>
      </c>
      <c r="BA384">
        <f t="shared" ref="BA384" si="432">(BA381*$AC$377)/(BA383+$AC$377)</f>
        <v>0.66666666666666663</v>
      </c>
    </row>
    <row r="385" spans="1:53" x14ac:dyDescent="0.25">
      <c r="A385" t="s">
        <v>182</v>
      </c>
      <c r="B385">
        <f>B382+B383</f>
        <v>1</v>
      </c>
      <c r="C385">
        <f>C382+C383</f>
        <v>1.2247448713915889</v>
      </c>
      <c r="D385">
        <f>D382+D383</f>
        <v>1.3660254037844386</v>
      </c>
      <c r="E385">
        <f t="shared" ref="E385:J385" si="433">E382+E383</f>
        <v>1.4142135623730949</v>
      </c>
      <c r="F385">
        <f t="shared" si="433"/>
        <v>1.3660254037844388</v>
      </c>
      <c r="G385">
        <f t="shared" si="433"/>
        <v>1.2247448713915889</v>
      </c>
      <c r="H385">
        <f t="shared" si="433"/>
        <v>1</v>
      </c>
      <c r="I385">
        <f t="shared" si="433"/>
        <v>0.70710678118654746</v>
      </c>
      <c r="J385">
        <f t="shared" si="433"/>
        <v>0.36602540378443893</v>
      </c>
      <c r="K385">
        <f t="shared" ref="K385:Z385" si="434">K382+K383</f>
        <v>0</v>
      </c>
      <c r="L385">
        <f t="shared" si="434"/>
        <v>-0.36602540378443876</v>
      </c>
      <c r="M385">
        <f t="shared" si="434"/>
        <v>-0.70710678118654724</v>
      </c>
      <c r="N385">
        <f t="shared" si="434"/>
        <v>-0.99999999999999989</v>
      </c>
      <c r="O385">
        <f t="shared" si="434"/>
        <v>-1.2247448713915892</v>
      </c>
      <c r="P385">
        <f t="shared" si="434"/>
        <v>-1.3660254037844388</v>
      </c>
      <c r="Q385">
        <f t="shared" si="434"/>
        <v>-1.4142135623730951</v>
      </c>
      <c r="R385">
        <f t="shared" si="434"/>
        <v>-1.3660254037844388</v>
      </c>
      <c r="S385">
        <f t="shared" si="434"/>
        <v>-1.2247448713915889</v>
      </c>
      <c r="T385">
        <f t="shared" si="434"/>
        <v>-1.0000000000000002</v>
      </c>
      <c r="U385">
        <f t="shared" si="434"/>
        <v>-0.70710678118654813</v>
      </c>
      <c r="V385">
        <f t="shared" si="434"/>
        <v>-0.36602540378443849</v>
      </c>
      <c r="W385">
        <f t="shared" si="434"/>
        <v>0</v>
      </c>
      <c r="X385">
        <f t="shared" si="434"/>
        <v>0.36602540378443793</v>
      </c>
      <c r="Y385">
        <f t="shared" si="434"/>
        <v>0.70710678118654768</v>
      </c>
      <c r="Z385">
        <f t="shared" si="434"/>
        <v>0.99999999999999978</v>
      </c>
      <c r="AB385" t="s">
        <v>318</v>
      </c>
      <c r="AC385">
        <f>(AC382*$AC$377)/(AC383+$AC$377)</f>
        <v>-1</v>
      </c>
      <c r="AD385" t="e">
        <f t="shared" ref="AD385:AE385" si="435">(AD382*$AC$377)/(AD383+$AC$377)</f>
        <v>#DIV/0!</v>
      </c>
      <c r="AE385">
        <f t="shared" si="435"/>
        <v>1</v>
      </c>
      <c r="AF385">
        <f>(AF382*$AC$377)/(AF383+$AC$377)</f>
        <v>0.5</v>
      </c>
      <c r="AG385">
        <f t="shared" ref="AG385" si="436">(AG382*$AC$377)/(AG383+$AC$377)</f>
        <v>0.33333333333333331</v>
      </c>
      <c r="AH385">
        <f>(AH382*$AC$377)/(AH383+$AC$377)</f>
        <v>-1</v>
      </c>
      <c r="AI385" t="e">
        <f>(AI382*$AC$377)/(AI383+$AC$377)</f>
        <v>#DIV/0!</v>
      </c>
      <c r="AJ385">
        <f t="shared" ref="AJ385:AL385" si="437">(AJ382*$AC$377)/(AJ383+$AC$377)</f>
        <v>1</v>
      </c>
      <c r="AK385">
        <f t="shared" si="437"/>
        <v>0.5</v>
      </c>
      <c r="AL385">
        <f t="shared" si="437"/>
        <v>0.33333333333333331</v>
      </c>
      <c r="AM385">
        <f t="shared" ref="AM385:AN385" si="438">(AM382*$AC$377)/(AM383+$AC$377)</f>
        <v>-1</v>
      </c>
      <c r="AN385" t="e">
        <f t="shared" si="438"/>
        <v>#DIV/0!</v>
      </c>
      <c r="AO385">
        <f t="shared" ref="AO385:AS385" si="439">(AO382*$AC$377)/(AO383+$AC$377)</f>
        <v>1</v>
      </c>
      <c r="AP385">
        <f t="shared" si="439"/>
        <v>0.5</v>
      </c>
      <c r="AQ385">
        <f t="shared" si="439"/>
        <v>0.33333333333333331</v>
      </c>
      <c r="AR385">
        <f t="shared" si="439"/>
        <v>-1</v>
      </c>
      <c r="AS385" t="e">
        <f t="shared" si="439"/>
        <v>#DIV/0!</v>
      </c>
      <c r="AT385">
        <f t="shared" ref="AT385:AX385" si="440">(AT382*$AC$377)/(AT383+$AC$377)</f>
        <v>1</v>
      </c>
      <c r="AU385">
        <f t="shared" si="440"/>
        <v>0.5</v>
      </c>
      <c r="AV385">
        <f t="shared" si="440"/>
        <v>0.33333333333333331</v>
      </c>
      <c r="AW385">
        <f t="shared" si="440"/>
        <v>-1</v>
      </c>
      <c r="AX385" t="e">
        <f t="shared" si="440"/>
        <v>#DIV/0!</v>
      </c>
      <c r="AY385">
        <f t="shared" ref="AY385:BA385" si="441">(AY382*$AC$377)/(AY383+$AC$377)</f>
        <v>1</v>
      </c>
      <c r="AZ385">
        <f t="shared" si="441"/>
        <v>0.5</v>
      </c>
      <c r="BA385">
        <f t="shared" si="441"/>
        <v>0.33333333333333331</v>
      </c>
    </row>
    <row r="386" spans="1:53" x14ac:dyDescent="0.25">
      <c r="A386" t="s">
        <v>183</v>
      </c>
      <c r="B386">
        <f>B384+B379</f>
        <v>1</v>
      </c>
      <c r="C386">
        <f>C384+C379</f>
        <v>1.2247448713915889</v>
      </c>
      <c r="D386">
        <f>D384+D379</f>
        <v>1.3660254037844386</v>
      </c>
      <c r="E386">
        <f t="shared" ref="E386:J386" si="442">E384+E379</f>
        <v>1.4142135623730949</v>
      </c>
      <c r="F386">
        <f t="shared" si="442"/>
        <v>1.3660254037844388</v>
      </c>
      <c r="G386">
        <f t="shared" si="442"/>
        <v>1.2247448713915889</v>
      </c>
      <c r="H386">
        <f t="shared" si="442"/>
        <v>1</v>
      </c>
      <c r="I386">
        <f t="shared" si="442"/>
        <v>0.70710678118654746</v>
      </c>
      <c r="J386">
        <f t="shared" si="442"/>
        <v>0.36602540378443893</v>
      </c>
      <c r="K386">
        <f t="shared" ref="K386:Z386" si="443">K384+K379</f>
        <v>0</v>
      </c>
      <c r="L386">
        <f t="shared" si="443"/>
        <v>-0.36602540378443876</v>
      </c>
      <c r="M386">
        <f t="shared" si="443"/>
        <v>-0.70710678118654724</v>
      </c>
      <c r="N386">
        <f t="shared" si="443"/>
        <v>-0.99999999999999989</v>
      </c>
      <c r="O386">
        <f t="shared" si="443"/>
        <v>-1.2247448713915892</v>
      </c>
      <c r="P386">
        <f t="shared" si="443"/>
        <v>-1.3660254037844388</v>
      </c>
      <c r="Q386">
        <f t="shared" si="443"/>
        <v>-1.4142135623730951</v>
      </c>
      <c r="R386">
        <f t="shared" si="443"/>
        <v>-1.3660254037844388</v>
      </c>
      <c r="S386">
        <f t="shared" si="443"/>
        <v>-1.2247448713915889</v>
      </c>
      <c r="T386">
        <f t="shared" si="443"/>
        <v>-1.0000000000000002</v>
      </c>
      <c r="U386">
        <f t="shared" si="443"/>
        <v>-0.70710678118654813</v>
      </c>
      <c r="V386">
        <f t="shared" si="443"/>
        <v>-0.36602540378443849</v>
      </c>
      <c r="W386">
        <f t="shared" si="443"/>
        <v>0</v>
      </c>
      <c r="X386">
        <f t="shared" si="443"/>
        <v>0.36602540378443793</v>
      </c>
      <c r="Y386">
        <f t="shared" si="443"/>
        <v>0.70710678118654768</v>
      </c>
      <c r="Z386">
        <f t="shared" si="443"/>
        <v>0.99999999999999978</v>
      </c>
    </row>
    <row r="387" spans="1:53" x14ac:dyDescent="0.25">
      <c r="A387" t="s">
        <v>184</v>
      </c>
      <c r="B387">
        <f>B381+B380</f>
        <v>1</v>
      </c>
      <c r="C387">
        <f>C381+C380</f>
        <v>1.2247448713915889</v>
      </c>
      <c r="D387">
        <f>D381+D380</f>
        <v>1.3660254037844386</v>
      </c>
      <c r="E387">
        <f t="shared" ref="E387:J387" si="444">E381+E380</f>
        <v>1.4142135623730949</v>
      </c>
      <c r="F387">
        <f t="shared" si="444"/>
        <v>1.3660254037844388</v>
      </c>
      <c r="G387">
        <f t="shared" si="444"/>
        <v>1.2247448713915889</v>
      </c>
      <c r="H387">
        <f t="shared" si="444"/>
        <v>1</v>
      </c>
      <c r="I387">
        <f t="shared" si="444"/>
        <v>0.70710678118654746</v>
      </c>
      <c r="J387">
        <f t="shared" si="444"/>
        <v>0.36602540378443893</v>
      </c>
      <c r="K387">
        <f t="shared" ref="K387:Z387" si="445">K381+K380</f>
        <v>0</v>
      </c>
      <c r="L387">
        <f t="shared" si="445"/>
        <v>-0.36602540378443876</v>
      </c>
      <c r="M387">
        <f t="shared" si="445"/>
        <v>-0.70710678118654724</v>
      </c>
      <c r="N387">
        <f t="shared" si="445"/>
        <v>-0.99999999999999989</v>
      </c>
      <c r="O387">
        <f t="shared" si="445"/>
        <v>-1.2247448713915892</v>
      </c>
      <c r="P387">
        <f t="shared" si="445"/>
        <v>-1.3660254037844388</v>
      </c>
      <c r="Q387">
        <f t="shared" si="445"/>
        <v>-1.4142135623730951</v>
      </c>
      <c r="R387">
        <f t="shared" si="445"/>
        <v>-1.3660254037844388</v>
      </c>
      <c r="S387">
        <f t="shared" si="445"/>
        <v>-1.2247448713915889</v>
      </c>
      <c r="T387">
        <f t="shared" si="445"/>
        <v>-1.0000000000000002</v>
      </c>
      <c r="U387">
        <f t="shared" si="445"/>
        <v>-0.70710678118654813</v>
      </c>
      <c r="V387">
        <f t="shared" si="445"/>
        <v>-0.36602540378443849</v>
      </c>
      <c r="W387">
        <f t="shared" si="445"/>
        <v>0</v>
      </c>
      <c r="X387">
        <f t="shared" si="445"/>
        <v>0.36602540378443793</v>
      </c>
      <c r="Y387">
        <f t="shared" si="445"/>
        <v>0.70710678118654768</v>
      </c>
      <c r="Z387">
        <f t="shared" si="445"/>
        <v>0.99999999999999978</v>
      </c>
    </row>
    <row r="388" spans="1:53" x14ac:dyDescent="0.25">
      <c r="A388" t="s">
        <v>144</v>
      </c>
      <c r="B388">
        <f>(B385*$B$374)/(B387+$B$374)</f>
        <v>0.5</v>
      </c>
      <c r="C388">
        <f>(C385*$B$374)/(C387+$B$374)</f>
        <v>0.5505102572168219</v>
      </c>
      <c r="D388">
        <f>(D385*$B$374)/(D387+$B$374)</f>
        <v>0.57735026918962584</v>
      </c>
      <c r="E388">
        <f t="shared" ref="E388:J388" si="446">(E385*$B$374)/(E387+$B$374)</f>
        <v>0.58578643762690497</v>
      </c>
      <c r="F388">
        <f t="shared" si="446"/>
        <v>0.57735026918962584</v>
      </c>
      <c r="G388">
        <f t="shared" si="446"/>
        <v>0.5505102572168219</v>
      </c>
      <c r="H388">
        <f t="shared" si="446"/>
        <v>0.5</v>
      </c>
      <c r="I388">
        <f t="shared" si="446"/>
        <v>0.41421356237309503</v>
      </c>
      <c r="J388">
        <f t="shared" si="446"/>
        <v>0.26794919243112286</v>
      </c>
      <c r="K388">
        <f t="shared" ref="K388" si="447">(K385*$B$374)/(K387+$B$374)</f>
        <v>0</v>
      </c>
      <c r="L388">
        <f t="shared" ref="L388" si="448">(L385*$B$374)/(L387+$B$374)</f>
        <v>-0.57735026918962606</v>
      </c>
      <c r="M388">
        <f t="shared" ref="M388" si="449">(M385*$B$374)/(M387+$B$374)</f>
        <v>-2.4142135623730918</v>
      </c>
      <c r="N388">
        <f t="shared" ref="N388" si="450">(N385*$B$374)/(N387+$B$374)</f>
        <v>-9007199254740991</v>
      </c>
      <c r="O388">
        <f t="shared" ref="O388" si="451">(O385*$B$374)/(O387+$B$374)</f>
        <v>5.4494897427831761</v>
      </c>
      <c r="P388">
        <f t="shared" ref="P388" si="452">(P385*$B$374)/(P387+$B$374)</f>
        <v>3.7320508075688759</v>
      </c>
      <c r="Q388">
        <f t="shared" ref="Q388" si="453">(Q385*$B$374)/(Q387+$B$374)</f>
        <v>3.4142135623730945</v>
      </c>
      <c r="R388">
        <f t="shared" ref="R388" si="454">(R385*$B$374)/(R387+$B$374)</f>
        <v>3.7320508075688759</v>
      </c>
      <c r="S388">
        <f t="shared" ref="S388" si="455">(S385*$B$374)/(S387+$B$374)</f>
        <v>5.4494897427831805</v>
      </c>
      <c r="T388">
        <f t="shared" ref="T388" si="456">(T385*$B$374)/(T387+$B$374)</f>
        <v>4503599627370497</v>
      </c>
      <c r="U388">
        <f t="shared" ref="U388" si="457">(U385*$B$374)/(U387+$B$374)</f>
        <v>-2.414213562373102</v>
      </c>
      <c r="V388">
        <f t="shared" ref="V388" si="458">(V385*$B$374)/(V387+$B$374)</f>
        <v>-0.5773502691896254</v>
      </c>
      <c r="W388">
        <f t="shared" ref="W388" si="459">(W385*$B$374)/(W387+$B$374)</f>
        <v>0</v>
      </c>
      <c r="X388">
        <f t="shared" ref="X388" si="460">(X385*$B$374)/(X387+$B$374)</f>
        <v>0.26794919243112231</v>
      </c>
      <c r="Y388">
        <f t="shared" ref="Y388" si="461">(Y385*$B$374)/(Y387+$B$374)</f>
        <v>0.41421356237309509</v>
      </c>
      <c r="Z388">
        <f t="shared" ref="Z388" si="462">(Z385*$B$374)/(Z387+$B$374)</f>
        <v>0.49999999999999994</v>
      </c>
    </row>
    <row r="389" spans="1:53" x14ac:dyDescent="0.25">
      <c r="A389" t="s">
        <v>145</v>
      </c>
      <c r="B389">
        <f>(B386*$B$374)/(B387+$B$374)</f>
        <v>0.5</v>
      </c>
      <c r="C389">
        <f>(C386*$B$374)/(C387+$B$374)</f>
        <v>0.5505102572168219</v>
      </c>
      <c r="D389">
        <f>(D386*$B$374)/(D387+$B$374)</f>
        <v>0.57735026918962584</v>
      </c>
      <c r="E389">
        <f t="shared" ref="E389:J389" si="463">(E386*$B$374)/(E387+$B$374)</f>
        <v>0.58578643762690497</v>
      </c>
      <c r="F389">
        <f t="shared" si="463"/>
        <v>0.57735026918962584</v>
      </c>
      <c r="G389">
        <f t="shared" si="463"/>
        <v>0.5505102572168219</v>
      </c>
      <c r="H389">
        <f t="shared" si="463"/>
        <v>0.5</v>
      </c>
      <c r="I389">
        <f t="shared" si="463"/>
        <v>0.41421356237309503</v>
      </c>
      <c r="J389">
        <f t="shared" si="463"/>
        <v>0.26794919243112286</v>
      </c>
      <c r="K389">
        <f t="shared" ref="K389:Z389" si="464">(K386*$B$374)/(K387+$B$374)</f>
        <v>0</v>
      </c>
      <c r="L389">
        <f t="shared" si="464"/>
        <v>-0.57735026918962606</v>
      </c>
      <c r="M389">
        <f t="shared" si="464"/>
        <v>-2.4142135623730918</v>
      </c>
      <c r="N389">
        <f t="shared" si="464"/>
        <v>-9007199254740991</v>
      </c>
      <c r="O389">
        <f t="shared" si="464"/>
        <v>5.4494897427831761</v>
      </c>
      <c r="P389">
        <f t="shared" si="464"/>
        <v>3.7320508075688759</v>
      </c>
      <c r="Q389">
        <f t="shared" si="464"/>
        <v>3.4142135623730945</v>
      </c>
      <c r="R389">
        <f t="shared" si="464"/>
        <v>3.7320508075688759</v>
      </c>
      <c r="S389">
        <f t="shared" si="464"/>
        <v>5.4494897427831805</v>
      </c>
      <c r="T389">
        <f t="shared" si="464"/>
        <v>4503599627370497</v>
      </c>
      <c r="U389">
        <f t="shared" si="464"/>
        <v>-2.414213562373102</v>
      </c>
      <c r="V389">
        <f t="shared" si="464"/>
        <v>-0.5773502691896254</v>
      </c>
      <c r="W389">
        <f t="shared" si="464"/>
        <v>0</v>
      </c>
      <c r="X389">
        <f t="shared" si="464"/>
        <v>0.26794919243112231</v>
      </c>
      <c r="Y389">
        <f t="shared" si="464"/>
        <v>0.41421356237309509</v>
      </c>
      <c r="Z389">
        <f t="shared" si="464"/>
        <v>0.49999999999999994</v>
      </c>
    </row>
    <row r="406" spans="1:7" x14ac:dyDescent="0.25">
      <c r="A406" t="s">
        <v>239</v>
      </c>
      <c r="B406" t="s">
        <v>209</v>
      </c>
      <c r="C406" t="s">
        <v>210</v>
      </c>
      <c r="D406" t="s">
        <v>240</v>
      </c>
      <c r="E406" t="s">
        <v>241</v>
      </c>
      <c r="F406" t="s">
        <v>242</v>
      </c>
      <c r="G406" t="s">
        <v>244</v>
      </c>
    </row>
    <row r="407" spans="1:7" x14ac:dyDescent="0.25">
      <c r="A407" t="s">
        <v>211</v>
      </c>
      <c r="B407" t="s">
        <v>212</v>
      </c>
      <c r="C407">
        <v>15</v>
      </c>
      <c r="D407">
        <v>21</v>
      </c>
      <c r="E407" t="str">
        <f>IF(D407&gt;365, "Richtig", "Falsch")</f>
        <v>Falsch</v>
      </c>
      <c r="F407">
        <v>53</v>
      </c>
      <c r="G407">
        <f>CODE(B407)</f>
        <v>77</v>
      </c>
    </row>
    <row r="408" spans="1:7" x14ac:dyDescent="0.25">
      <c r="A408" t="s">
        <v>213</v>
      </c>
      <c r="B408" t="s">
        <v>214</v>
      </c>
      <c r="C408">
        <v>12</v>
      </c>
      <c r="D408">
        <v>323</v>
      </c>
      <c r="E408" t="str">
        <f t="shared" ref="E408:E421" si="465">IF(D408&gt;365, "Richtig", "Falsch")</f>
        <v>Falsch</v>
      </c>
      <c r="F408">
        <v>123</v>
      </c>
      <c r="G408">
        <f t="shared" ref="G408:G421" si="466">CODE(B408)</f>
        <v>76</v>
      </c>
    </row>
    <row r="409" spans="1:7" x14ac:dyDescent="0.25">
      <c r="A409" t="s">
        <v>215</v>
      </c>
      <c r="B409" t="s">
        <v>216</v>
      </c>
      <c r="C409">
        <v>11</v>
      </c>
      <c r="D409">
        <v>21</v>
      </c>
      <c r="E409" t="str">
        <f t="shared" si="465"/>
        <v>Falsch</v>
      </c>
      <c r="F409">
        <v>12</v>
      </c>
      <c r="G409">
        <f t="shared" si="466"/>
        <v>77</v>
      </c>
    </row>
    <row r="410" spans="1:7" x14ac:dyDescent="0.25">
      <c r="A410" t="s">
        <v>217</v>
      </c>
      <c r="B410" t="s">
        <v>218</v>
      </c>
      <c r="C410">
        <v>25</v>
      </c>
      <c r="D410">
        <v>1523</v>
      </c>
      <c r="E410" t="str">
        <f t="shared" si="465"/>
        <v>Richtig</v>
      </c>
      <c r="F410">
        <v>54</v>
      </c>
      <c r="G410">
        <f t="shared" si="466"/>
        <v>77</v>
      </c>
    </row>
    <row r="411" spans="1:7" x14ac:dyDescent="0.25">
      <c r="A411" t="s">
        <v>219</v>
      </c>
      <c r="B411" t="s">
        <v>220</v>
      </c>
      <c r="C411">
        <v>33</v>
      </c>
      <c r="D411">
        <v>2112</v>
      </c>
      <c r="E411" t="str">
        <f t="shared" si="465"/>
        <v>Richtig</v>
      </c>
      <c r="F411">
        <v>21</v>
      </c>
      <c r="G411">
        <f t="shared" si="466"/>
        <v>82</v>
      </c>
    </row>
    <row r="412" spans="1:7" x14ac:dyDescent="0.25">
      <c r="A412" t="s">
        <v>221</v>
      </c>
      <c r="B412" t="s">
        <v>222</v>
      </c>
      <c r="C412">
        <v>121</v>
      </c>
      <c r="D412">
        <v>32</v>
      </c>
      <c r="E412" t="str">
        <f t="shared" si="465"/>
        <v>Falsch</v>
      </c>
      <c r="F412">
        <v>634</v>
      </c>
      <c r="G412">
        <f t="shared" si="466"/>
        <v>85</v>
      </c>
    </row>
    <row r="413" spans="1:7" x14ac:dyDescent="0.25">
      <c r="A413" t="s">
        <v>223</v>
      </c>
      <c r="B413" t="s">
        <v>224</v>
      </c>
      <c r="C413">
        <v>43</v>
      </c>
      <c r="D413">
        <v>7654</v>
      </c>
      <c r="E413" t="str">
        <f t="shared" si="465"/>
        <v>Richtig</v>
      </c>
      <c r="F413">
        <v>3463</v>
      </c>
      <c r="G413">
        <f t="shared" si="466"/>
        <v>74</v>
      </c>
    </row>
    <row r="414" spans="1:7" x14ac:dyDescent="0.25">
      <c r="A414" t="s">
        <v>223</v>
      </c>
      <c r="B414" t="s">
        <v>225</v>
      </c>
      <c r="C414">
        <v>3</v>
      </c>
      <c r="D414">
        <v>432</v>
      </c>
      <c r="E414" t="str">
        <f t="shared" si="465"/>
        <v>Richtig</v>
      </c>
      <c r="F414">
        <v>234</v>
      </c>
      <c r="G414">
        <f t="shared" si="466"/>
        <v>74</v>
      </c>
    </row>
    <row r="415" spans="1:7" x14ac:dyDescent="0.25">
      <c r="A415" t="s">
        <v>226</v>
      </c>
      <c r="B415" t="s">
        <v>218</v>
      </c>
      <c r="C415">
        <v>12</v>
      </c>
      <c r="D415">
        <v>41</v>
      </c>
      <c r="E415" t="str">
        <f t="shared" si="465"/>
        <v>Falsch</v>
      </c>
      <c r="F415">
        <v>21</v>
      </c>
      <c r="G415">
        <f t="shared" si="466"/>
        <v>77</v>
      </c>
    </row>
    <row r="416" spans="1:7" x14ac:dyDescent="0.25">
      <c r="A416" t="s">
        <v>227</v>
      </c>
      <c r="B416" t="s">
        <v>228</v>
      </c>
      <c r="C416">
        <v>56</v>
      </c>
      <c r="D416">
        <v>976</v>
      </c>
      <c r="E416" t="str">
        <f t="shared" si="465"/>
        <v>Richtig</v>
      </c>
      <c r="F416">
        <v>867</v>
      </c>
      <c r="G416">
        <f t="shared" si="466"/>
        <v>82</v>
      </c>
    </row>
    <row r="417" spans="1:11" x14ac:dyDescent="0.25">
      <c r="A417" t="s">
        <v>229</v>
      </c>
      <c r="B417" t="s">
        <v>230</v>
      </c>
      <c r="C417">
        <v>76</v>
      </c>
      <c r="D417">
        <v>53</v>
      </c>
      <c r="E417" t="str">
        <f>IF(D417&gt;365, "Richtig", "Falsch")</f>
        <v>Falsch</v>
      </c>
      <c r="F417">
        <v>98</v>
      </c>
      <c r="G417">
        <f t="shared" si="466"/>
        <v>77</v>
      </c>
    </row>
    <row r="418" spans="1:11" x14ac:dyDescent="0.25">
      <c r="A418" t="s">
        <v>231</v>
      </c>
      <c r="B418" t="s">
        <v>232</v>
      </c>
      <c r="C418">
        <v>43</v>
      </c>
      <c r="D418">
        <v>865</v>
      </c>
      <c r="E418" t="str">
        <f t="shared" si="465"/>
        <v>Richtig</v>
      </c>
      <c r="F418">
        <v>67</v>
      </c>
      <c r="G418">
        <f t="shared" si="466"/>
        <v>68</v>
      </c>
    </row>
    <row r="419" spans="1:11" x14ac:dyDescent="0.25">
      <c r="A419" t="s">
        <v>233</v>
      </c>
      <c r="B419" t="s">
        <v>234</v>
      </c>
      <c r="C419">
        <v>12</v>
      </c>
      <c r="D419">
        <v>123214</v>
      </c>
      <c r="E419" t="str">
        <f t="shared" si="465"/>
        <v>Richtig</v>
      </c>
      <c r="F419">
        <v>2352</v>
      </c>
      <c r="G419">
        <f t="shared" si="466"/>
        <v>71</v>
      </c>
    </row>
    <row r="420" spans="1:11" x14ac:dyDescent="0.25">
      <c r="A420" t="s">
        <v>235</v>
      </c>
      <c r="B420" t="s">
        <v>236</v>
      </c>
      <c r="C420">
        <v>32</v>
      </c>
      <c r="D420">
        <v>423</v>
      </c>
      <c r="E420" t="str">
        <f t="shared" si="465"/>
        <v>Richtig</v>
      </c>
      <c r="F420">
        <v>758</v>
      </c>
      <c r="G420">
        <f t="shared" si="466"/>
        <v>84</v>
      </c>
    </row>
    <row r="421" spans="1:11" x14ac:dyDescent="0.25">
      <c r="A421" t="s">
        <v>237</v>
      </c>
      <c r="B421" t="s">
        <v>238</v>
      </c>
      <c r="C421">
        <v>74</v>
      </c>
      <c r="D421">
        <v>967</v>
      </c>
      <c r="E421" t="str">
        <f t="shared" si="465"/>
        <v>Richtig</v>
      </c>
      <c r="F421">
        <v>5235</v>
      </c>
      <c r="G421">
        <f t="shared" si="466"/>
        <v>80</v>
      </c>
      <c r="H421">
        <v>100</v>
      </c>
      <c r="I421" s="6"/>
    </row>
    <row r="422" spans="1:11" x14ac:dyDescent="0.25">
      <c r="C422">
        <f>SUM(C407:C421)</f>
        <v>568</v>
      </c>
      <c r="D422">
        <f>SUM(D407:D421)</f>
        <v>138657</v>
      </c>
      <c r="E422" t="str">
        <f>IF(COUNTIF(E407:E421, "Richtig") &gt; COUNTIF(E407:E421, "Falsch"), "+Arbeit", "-Arbeit")</f>
        <v>+Arbeit</v>
      </c>
      <c r="F422">
        <f>LOOKUP(423, D407:D421, F407:F421)</f>
        <v>12</v>
      </c>
      <c r="G422">
        <f>SUM(G407:G421)</f>
        <v>1161</v>
      </c>
      <c r="H422" t="str">
        <f>REPT(G421, C414)</f>
        <v>808080</v>
      </c>
      <c r="I422" t="str">
        <f>FIXED(H421)</f>
        <v>100,00</v>
      </c>
    </row>
    <row r="423" spans="1:11" x14ac:dyDescent="0.25">
      <c r="D423" t="s">
        <v>243</v>
      </c>
    </row>
    <row r="424" spans="1:11" x14ac:dyDescent="0.25">
      <c r="A424" t="str">
        <f>"&lt;Global Net&gt;"</f>
        <v>&lt;Global Net&gt;</v>
      </c>
    </row>
    <row r="425" spans="1:11" x14ac:dyDescent="0.25">
      <c r="A425" t="s">
        <v>245</v>
      </c>
      <c r="B425" s="27" t="s">
        <v>246</v>
      </c>
      <c r="C425" s="27" t="s">
        <v>257</v>
      </c>
      <c r="D425" s="27" t="s">
        <v>254</v>
      </c>
      <c r="E425" s="27" t="s">
        <v>255</v>
      </c>
      <c r="F425" s="27" t="s">
        <v>256</v>
      </c>
      <c r="G425" s="27" t="s">
        <v>317</v>
      </c>
      <c r="H425" s="27" t="s">
        <v>258</v>
      </c>
      <c r="I425" s="33" t="s">
        <v>259</v>
      </c>
      <c r="J425" s="33" t="s">
        <v>263</v>
      </c>
      <c r="K425" s="33" t="s">
        <v>269</v>
      </c>
    </row>
    <row r="426" spans="1:11" ht="30" x14ac:dyDescent="0.25">
      <c r="A426" t="s">
        <v>248</v>
      </c>
      <c r="B426">
        <v>3</v>
      </c>
      <c r="C426" t="b">
        <v>1</v>
      </c>
      <c r="D426">
        <v>100</v>
      </c>
      <c r="E426" s="31">
        <v>10.92</v>
      </c>
      <c r="F426" s="32">
        <f t="shared" ref="F426:F427" si="467">IF(C426=TRUE, IF(D426 &gt; -100000, D426 * E426, "?"), "?")</f>
        <v>1092</v>
      </c>
      <c r="G426" s="29">
        <v>0.12</v>
      </c>
      <c r="H426" s="4">
        <f>IF(F426="?", "---",F426*G426)</f>
        <v>131.04</v>
      </c>
      <c r="I426" s="33" t="s">
        <v>260</v>
      </c>
      <c r="J426" t="s">
        <v>264</v>
      </c>
      <c r="K426" s="34" t="str">
        <f>CONCATENATE(LEFT(I426,2)," - ",J426)</f>
        <v>De - Berlin</v>
      </c>
    </row>
    <row r="427" spans="1:11" ht="13.5" customHeight="1" x14ac:dyDescent="0.25">
      <c r="A427" t="s">
        <v>247</v>
      </c>
      <c r="B427">
        <v>4</v>
      </c>
      <c r="C427" t="b">
        <v>1</v>
      </c>
      <c r="D427">
        <v>500</v>
      </c>
      <c r="E427" s="31">
        <v>12.55</v>
      </c>
      <c r="F427" s="32">
        <f t="shared" si="467"/>
        <v>6275</v>
      </c>
      <c r="G427" s="29">
        <v>0.45</v>
      </c>
      <c r="H427" s="4">
        <f t="shared" ref="H427:H432" si="468">IF(F427="?", "---",F427*G427)</f>
        <v>2823.75</v>
      </c>
      <c r="I427" s="33" t="s">
        <v>284</v>
      </c>
      <c r="J427" t="s">
        <v>265</v>
      </c>
      <c r="K427" s="34" t="str">
        <f t="shared" ref="K427:K431" si="469">CONCATENATE(LEFT(I427,2)," - ",J427)</f>
        <v>Us - New York</v>
      </c>
    </row>
    <row r="428" spans="1:11" ht="13.5" customHeight="1" x14ac:dyDescent="0.25">
      <c r="A428" t="s">
        <v>249</v>
      </c>
      <c r="B428">
        <v>1</v>
      </c>
      <c r="C428" t="b">
        <v>0</v>
      </c>
      <c r="E428" s="31"/>
      <c r="F428" s="32" t="str">
        <f>IF(C428=TRUE, IF(D428 &gt; -100000, D428 * E428, "?"), "?")</f>
        <v>?</v>
      </c>
      <c r="G428" s="29"/>
      <c r="H428" s="4" t="str">
        <f>IF(F428="?", "---",F428*G428)</f>
        <v>---</v>
      </c>
      <c r="I428" s="33" t="s">
        <v>261</v>
      </c>
      <c r="J428" t="s">
        <v>266</v>
      </c>
      <c r="K428" s="34" t="str">
        <f t="shared" si="469"/>
        <v>It - Rom</v>
      </c>
    </row>
    <row r="429" spans="1:11" ht="13.5" customHeight="1" x14ac:dyDescent="0.25">
      <c r="A429" t="s">
        <v>250</v>
      </c>
      <c r="B429">
        <v>2</v>
      </c>
      <c r="C429" t="b">
        <v>1</v>
      </c>
      <c r="D429">
        <v>2000</v>
      </c>
      <c r="E429" s="31">
        <v>0.76</v>
      </c>
      <c r="F429" s="32">
        <f t="shared" ref="F429:F432" si="470">IF(C429=TRUE, IF(D429 &gt; -100000, D429 * E429, "?"), "?")</f>
        <v>1520</v>
      </c>
      <c r="G429" s="29">
        <v>0.9</v>
      </c>
      <c r="H429" s="4">
        <f t="shared" si="468"/>
        <v>1368</v>
      </c>
      <c r="I429" s="33" t="s">
        <v>260</v>
      </c>
      <c r="J429" t="s">
        <v>267</v>
      </c>
      <c r="K429" s="34" t="str">
        <f t="shared" si="469"/>
        <v>De - München</v>
      </c>
    </row>
    <row r="430" spans="1:11" ht="30" x14ac:dyDescent="0.25">
      <c r="A430" t="s">
        <v>251</v>
      </c>
      <c r="B430">
        <v>5</v>
      </c>
      <c r="C430" t="b">
        <v>0</v>
      </c>
      <c r="E430" s="31"/>
      <c r="F430" s="32" t="str">
        <f t="shared" si="470"/>
        <v>?</v>
      </c>
      <c r="G430" s="29"/>
      <c r="H430" s="4" t="str">
        <f t="shared" si="468"/>
        <v>---</v>
      </c>
      <c r="I430" s="33" t="s">
        <v>260</v>
      </c>
      <c r="J430" t="s">
        <v>264</v>
      </c>
      <c r="K430" s="34" t="str">
        <f t="shared" si="469"/>
        <v>De - Berlin</v>
      </c>
    </row>
    <row r="431" spans="1:11" ht="30" x14ac:dyDescent="0.25">
      <c r="A431" t="s">
        <v>252</v>
      </c>
      <c r="B431">
        <v>3</v>
      </c>
      <c r="C431" t="b">
        <v>1</v>
      </c>
      <c r="D431">
        <v>100</v>
      </c>
      <c r="E431" s="31">
        <v>3.65</v>
      </c>
      <c r="F431" s="32">
        <f>IF(C431=TRUE, IF(D431 &gt; -100000, D431 * E431, "?"), "?")</f>
        <v>365</v>
      </c>
      <c r="G431" s="29">
        <v>0.66</v>
      </c>
      <c r="H431" s="4">
        <f t="shared" si="468"/>
        <v>240.9</v>
      </c>
      <c r="I431" s="33" t="s">
        <v>284</v>
      </c>
      <c r="J431" t="s">
        <v>265</v>
      </c>
      <c r="K431" s="34" t="str">
        <f t="shared" si="469"/>
        <v>Us - New York</v>
      </c>
    </row>
    <row r="432" spans="1:11" ht="30" x14ac:dyDescent="0.25">
      <c r="A432" t="s">
        <v>253</v>
      </c>
      <c r="B432">
        <v>4</v>
      </c>
      <c r="C432" t="b">
        <v>1</v>
      </c>
      <c r="D432">
        <v>15</v>
      </c>
      <c r="E432" s="31">
        <v>567.89</v>
      </c>
      <c r="F432" s="32">
        <f t="shared" si="470"/>
        <v>8518.35</v>
      </c>
      <c r="G432" s="29">
        <v>0.99</v>
      </c>
      <c r="H432" s="4">
        <f t="shared" si="468"/>
        <v>8433.1665000000012</v>
      </c>
      <c r="I432" s="33" t="s">
        <v>262</v>
      </c>
      <c r="J432" t="s">
        <v>268</v>
      </c>
      <c r="K432" s="34" t="str">
        <f>CONCATENATE(LEFT(I432,2)," - ",J432)</f>
        <v>Br - London</v>
      </c>
    </row>
    <row r="433" spans="1:8" x14ac:dyDescent="0.25">
      <c r="A433" t="str">
        <f>"&lt;Gesamt/Schnitt&gt;"</f>
        <v>&lt;Gesamt/Schnitt&gt;</v>
      </c>
      <c r="B433">
        <f>(SUM(B426:B432) / ROWS(B426:B432))</f>
        <v>3.1428571428571428</v>
      </c>
      <c r="C433" s="30" t="str">
        <f>IF(COUNTIF(C426:C432,TRUE)&gt;COUNTIF(C426:C432,FALSE),"&lt;Mehr&gt;", "&lt;Weniger&gt;")</f>
        <v>&lt;Mehr&gt;</v>
      </c>
      <c r="D433">
        <f>SUM(D426:D432)</f>
        <v>2715</v>
      </c>
      <c r="E433" s="31">
        <f>SUM(E426:E432)</f>
        <v>595.77</v>
      </c>
      <c r="F433" s="32">
        <f>SUM(F426:F432)</f>
        <v>17770.349999999999</v>
      </c>
      <c r="G433" s="28">
        <f>AVERAGE(G426:G432)</f>
        <v>0.624</v>
      </c>
      <c r="H433" s="4">
        <f>SUM(H426:H432)</f>
        <v>12996.856500000002</v>
      </c>
    </row>
    <row r="435" spans="1:8" x14ac:dyDescent="0.25">
      <c r="A435" t="s">
        <v>271</v>
      </c>
    </row>
    <row r="436" spans="1:8" x14ac:dyDescent="0.25">
      <c r="A436" t="s">
        <v>270</v>
      </c>
      <c r="B436" t="s">
        <v>274</v>
      </c>
      <c r="C436" t="s">
        <v>275</v>
      </c>
      <c r="D436" t="s">
        <v>276</v>
      </c>
      <c r="E436" t="s">
        <v>277</v>
      </c>
      <c r="F436" t="s">
        <v>278</v>
      </c>
      <c r="G436" t="s">
        <v>239</v>
      </c>
    </row>
    <row r="437" spans="1:8" x14ac:dyDescent="0.25">
      <c r="A437" t="s">
        <v>272</v>
      </c>
      <c r="B437">
        <v>0</v>
      </c>
      <c r="C437">
        <v>2</v>
      </c>
      <c r="D437">
        <v>1</v>
      </c>
      <c r="E437">
        <v>0</v>
      </c>
      <c r="F437">
        <v>16</v>
      </c>
      <c r="G437" t="str">
        <f>CONCATENATE(IF(B437=0,"","Strange "),IF(D437&gt;0,"Unusual ",""),IF(C437=0,"",IF(C437=1,"Killstreak ",IF(C437=2,"Specialized Killsteak ",IF(C437=3,"Professional Killstreak ","")))),IF(D437=1,"Burning Flames ",IF(D437=2,"Scorching Flames ",IF(D437=3,"Tesla Coil ",IF(D437=4,"Kill-A-Watt ",IF(D437=5,"Terror Coil ",""))))),IF(E437=0,"",IF(E437=1,"Lime Green ",IF(E437=2,"Slate ",""))),A437,IF(F437="",""," Level "&amp;F437))</f>
        <v>Unusual Specialized Killsteak Burning Flames Team Captain Level 16</v>
      </c>
    </row>
    <row r="438" spans="1:8" x14ac:dyDescent="0.25">
      <c r="A438" t="s">
        <v>273</v>
      </c>
      <c r="B438">
        <v>1</v>
      </c>
      <c r="C438">
        <v>0</v>
      </c>
      <c r="D438">
        <v>2</v>
      </c>
      <c r="E438">
        <v>1</v>
      </c>
      <c r="F438">
        <v>90</v>
      </c>
      <c r="G438" t="str">
        <f t="shared" ref="G438:G441" si="471">CONCATENATE(IF(B438=0,"","Strange "),IF(D438&gt;0,"Unusual ",""),IF(C438=0,"",IF(C438=1,"Killstreak ",IF(C438=2,"Specialized Killsteak ",IF(C438=3,"Professional Killstreak ","")))),IF(D438=1,"Burning Flames ",IF(D438=2,"Scorching Flames ",IF(D438=3,"Tesla Coil ",IF(D438=4,"Kill-A-Watt ",IF(D438=5,"Terror Coil ",""))))),IF(E438=0,"",IF(E438=1,"Lime Green ",IF(E438=2,"Slate ",""))),A438,IF(F438="",""," Level "&amp;F438))</f>
        <v>Strange Unusual Scorching Flames Lime Green Virtual Viewfinder Level 90</v>
      </c>
    </row>
    <row r="439" spans="1:8" x14ac:dyDescent="0.25">
      <c r="A439" t="s">
        <v>279</v>
      </c>
      <c r="B439">
        <v>1</v>
      </c>
      <c r="C439">
        <v>3</v>
      </c>
      <c r="D439">
        <v>3</v>
      </c>
      <c r="E439">
        <v>2</v>
      </c>
      <c r="F439">
        <v>45</v>
      </c>
      <c r="G439" t="str">
        <f t="shared" si="471"/>
        <v>Strange Unusual Professional Killstreak Tesla Coil Slate Well-Rounded Rifleman Level 45</v>
      </c>
    </row>
    <row r="440" spans="1:8" x14ac:dyDescent="0.25">
      <c r="A440" t="s">
        <v>280</v>
      </c>
      <c r="B440">
        <v>0</v>
      </c>
      <c r="C440">
        <v>1</v>
      </c>
      <c r="D440">
        <v>0</v>
      </c>
      <c r="E440">
        <v>0</v>
      </c>
      <c r="F440">
        <v>34</v>
      </c>
      <c r="G440" t="str">
        <f t="shared" si="471"/>
        <v>Killstreak Dovakin Level 34</v>
      </c>
    </row>
    <row r="441" spans="1:8" x14ac:dyDescent="0.25">
      <c r="A441" t="s">
        <v>281</v>
      </c>
      <c r="B441">
        <v>1</v>
      </c>
      <c r="C441">
        <v>2</v>
      </c>
      <c r="D441">
        <v>4</v>
      </c>
      <c r="E441">
        <v>2</v>
      </c>
      <c r="F441">
        <v>69</v>
      </c>
      <c r="G441" t="str">
        <f t="shared" si="471"/>
        <v>Strange Unusual Specialized Killsteak Kill-A-Watt Slate Fantastic Doctor Plastic Level 69</v>
      </c>
    </row>
    <row r="442" spans="1:8" x14ac:dyDescent="0.25">
      <c r="A442" t="s">
        <v>282</v>
      </c>
      <c r="B442">
        <v>1</v>
      </c>
      <c r="C442">
        <v>3</v>
      </c>
      <c r="D442">
        <v>3</v>
      </c>
      <c r="E442">
        <v>1</v>
      </c>
      <c r="G442" t="str">
        <f>CONCATENATE(IF(B442=0,"","Strange "),IF(D442&gt;0,"Unusual ",""),IF(C442=0,"",IF(C442=1,"Killstreak ",IF(C442=2,"Specialized Killsteak ",IF(C442=3,"Professional Killstreak ","")))),IF(D442=1,"Burning Flames ",IF(D442=2,"Scorching Flames ",IF(D442=3,"Tesla Coil ",IF(D442=4,"Kill-A-Watt ",IF(D442=5,"Terror Coil ",""))))),IF(E442=0,"",IF(E442=1,"Lime Green ",IF(E442=2,"Slate ",""))),A442,IF(F442="",""," Level "&amp;F442))</f>
        <v>Strange Unusual Professional Killstreak Tesla Coil Lime Green Fancy Fedora</v>
      </c>
    </row>
    <row r="443" spans="1:8" x14ac:dyDescent="0.25">
      <c r="A443" t="s">
        <v>285</v>
      </c>
      <c r="B443">
        <v>1</v>
      </c>
      <c r="C443">
        <v>3</v>
      </c>
      <c r="D443">
        <v>1</v>
      </c>
      <c r="E443">
        <v>1</v>
      </c>
      <c r="F443">
        <v>100</v>
      </c>
      <c r="G443" t="str">
        <f>CONCATENATE(IF(B443=0,"","Strange "),IF(D443&gt;0,"Unusual ",""),IF(C443=0,"",IF(C443=1,"Killstreak ",IF(C443=2,"Specialized Killsteak ",IF(C443=3,"Professional Killstreak ","")))),IF(D443=1,"Burning Flames ",IF(D443=2,"Scorching Flames ",IF(D443=3,"Tesla Coil ",IF(D443=4,"Kill-A-Watt ",IF(D443=5,"Terror Coil ",""))))),IF(E443=0,"",IF(E443=1,"Lime Green ",IF(E443=2,"Slate ",""))),A443,IF(F443="",""," Level "&amp;F443))</f>
        <v>Strange Unusual Professional Killstreak Burning Flames Lime Green Glasgow Bankroller Level 100</v>
      </c>
    </row>
    <row r="444" spans="1:8" x14ac:dyDescent="0.25">
      <c r="A444" t="s">
        <v>286</v>
      </c>
      <c r="B444">
        <v>1</v>
      </c>
      <c r="C444">
        <v>3</v>
      </c>
      <c r="D444">
        <v>1</v>
      </c>
      <c r="E444">
        <v>1</v>
      </c>
      <c r="F444">
        <v>100</v>
      </c>
      <c r="G444" t="str">
        <f>CONCATENATE(IF(B444=0,"","Strange "),IF(D444&gt;0,"Unusual ",""),IF(C444=0,"",IF(C444=1,"Killstreak ",IF(C444=2,"Specialized Killsteak ",IF(C444=3,"Professional Killstreak ","")))),IF(D444=1,"Burning Flames ",IF(D444=2,"Scorching Flames ",IF(D444=3,"Tesla Coil ",IF(D444=4,"Kill-A-Watt ",IF(D444=5,"Terror Coil ",""))))),IF(E444=0,"",IF(E444=1,"Lime Green ",IF(E444=2,"Slate ",""))),A444,IF(F444="",""," Level "&amp;F444))</f>
        <v>Strange Unusual Professional Killstreak Burning Flames Lime Green Double Dynamite Level 100</v>
      </c>
    </row>
    <row r="446" spans="1:8" x14ac:dyDescent="0.25">
      <c r="A446" t="s">
        <v>287</v>
      </c>
      <c r="B446" t="s">
        <v>274</v>
      </c>
      <c r="C446" t="s">
        <v>276</v>
      </c>
      <c r="D446" t="s">
        <v>288</v>
      </c>
      <c r="E446" t="s">
        <v>296</v>
      </c>
      <c r="F446" t="s">
        <v>278</v>
      </c>
      <c r="G446" t="s">
        <v>289</v>
      </c>
    </row>
    <row r="447" spans="1:8" x14ac:dyDescent="0.25">
      <c r="A447" t="s">
        <v>282</v>
      </c>
      <c r="B447" t="s">
        <v>290</v>
      </c>
      <c r="C447" t="s">
        <v>292</v>
      </c>
      <c r="D447" t="s">
        <v>294</v>
      </c>
      <c r="E447" s="36" t="s">
        <v>298</v>
      </c>
      <c r="F447">
        <v>23</v>
      </c>
      <c r="G447" s="31">
        <v>1000</v>
      </c>
    </row>
    <row r="448" spans="1:8" x14ac:dyDescent="0.25">
      <c r="A448" t="s">
        <v>282</v>
      </c>
      <c r="B448" t="s">
        <v>291</v>
      </c>
      <c r="C448" t="s">
        <v>293</v>
      </c>
      <c r="D448" t="s">
        <v>295</v>
      </c>
      <c r="E448" t="s">
        <v>297</v>
      </c>
      <c r="F448">
        <v>66</v>
      </c>
      <c r="G448" s="31">
        <v>2500</v>
      </c>
    </row>
    <row r="449" spans="1:7" x14ac:dyDescent="0.25">
      <c r="A449" t="s">
        <v>282</v>
      </c>
      <c r="B449" t="s">
        <v>291</v>
      </c>
      <c r="C449" t="s">
        <v>293</v>
      </c>
      <c r="D449" t="s">
        <v>298</v>
      </c>
      <c r="E449" t="s">
        <v>299</v>
      </c>
      <c r="F449">
        <v>12</v>
      </c>
      <c r="G449" s="31">
        <v>2000</v>
      </c>
    </row>
    <row r="450" spans="1:7" x14ac:dyDescent="0.25">
      <c r="A450" t="s">
        <v>282</v>
      </c>
      <c r="B450" t="s">
        <v>290</v>
      </c>
      <c r="C450" t="s">
        <v>300</v>
      </c>
      <c r="D450" t="s">
        <v>298</v>
      </c>
      <c r="E450" t="s">
        <v>301</v>
      </c>
      <c r="F450">
        <v>44</v>
      </c>
      <c r="G450" s="31">
        <v>1500</v>
      </c>
    </row>
    <row r="451" spans="1:7" x14ac:dyDescent="0.25">
      <c r="A451" t="s">
        <v>280</v>
      </c>
      <c r="B451" t="s">
        <v>290</v>
      </c>
      <c r="C451" t="s">
        <v>302</v>
      </c>
      <c r="D451" t="s">
        <v>303</v>
      </c>
      <c r="E451" t="s">
        <v>298</v>
      </c>
      <c r="F451">
        <v>99</v>
      </c>
      <c r="G451" s="31">
        <v>300</v>
      </c>
    </row>
    <row r="452" spans="1:7" x14ac:dyDescent="0.25">
      <c r="A452" t="s">
        <v>280</v>
      </c>
      <c r="B452" t="s">
        <v>291</v>
      </c>
      <c r="C452" t="s">
        <v>304</v>
      </c>
      <c r="D452" t="s">
        <v>298</v>
      </c>
      <c r="E452" t="s">
        <v>305</v>
      </c>
      <c r="F452">
        <v>56</v>
      </c>
      <c r="G452" s="31">
        <v>400</v>
      </c>
    </row>
    <row r="453" spans="1:7" x14ac:dyDescent="0.25">
      <c r="A453" t="s">
        <v>272</v>
      </c>
      <c r="B453" t="s">
        <v>290</v>
      </c>
      <c r="C453" t="s">
        <v>292</v>
      </c>
      <c r="D453" t="s">
        <v>303</v>
      </c>
      <c r="E453" t="s">
        <v>306</v>
      </c>
      <c r="F453">
        <v>100</v>
      </c>
      <c r="G453" s="31">
        <v>15000</v>
      </c>
    </row>
    <row r="454" spans="1:7" x14ac:dyDescent="0.25">
      <c r="A454" t="s">
        <v>272</v>
      </c>
      <c r="B454" t="s">
        <v>290</v>
      </c>
      <c r="C454" t="s">
        <v>292</v>
      </c>
      <c r="D454" t="s">
        <v>295</v>
      </c>
      <c r="E454" t="s">
        <v>298</v>
      </c>
      <c r="F454">
        <v>25</v>
      </c>
      <c r="G454" s="31">
        <v>12000</v>
      </c>
    </row>
    <row r="455" spans="1:7" x14ac:dyDescent="0.25">
      <c r="A455" t="s">
        <v>272</v>
      </c>
      <c r="B455" t="s">
        <v>290</v>
      </c>
      <c r="C455" t="s">
        <v>293</v>
      </c>
      <c r="D455" t="s">
        <v>303</v>
      </c>
      <c r="E455" t="s">
        <v>298</v>
      </c>
      <c r="F455">
        <v>1</v>
      </c>
      <c r="G455" s="31">
        <v>9000</v>
      </c>
    </row>
    <row r="456" spans="1:7" x14ac:dyDescent="0.25">
      <c r="A456" t="s">
        <v>279</v>
      </c>
      <c r="B456" t="s">
        <v>290</v>
      </c>
      <c r="C456" t="s">
        <v>293</v>
      </c>
      <c r="D456" t="s">
        <v>298</v>
      </c>
      <c r="E456" t="s">
        <v>297</v>
      </c>
      <c r="F456">
        <v>66</v>
      </c>
      <c r="G456" s="31">
        <v>6600</v>
      </c>
    </row>
    <row r="457" spans="1:7" x14ac:dyDescent="0.25">
      <c r="A457" t="s">
        <v>279</v>
      </c>
      <c r="B457" t="s">
        <v>290</v>
      </c>
      <c r="C457" t="s">
        <v>311</v>
      </c>
      <c r="D457" t="s">
        <v>294</v>
      </c>
      <c r="E457" t="s">
        <v>306</v>
      </c>
      <c r="F457">
        <v>55</v>
      </c>
      <c r="G457" s="31">
        <v>5500</v>
      </c>
    </row>
    <row r="458" spans="1:7" x14ac:dyDescent="0.25">
      <c r="A458" t="s">
        <v>279</v>
      </c>
      <c r="B458" t="s">
        <v>290</v>
      </c>
      <c r="C458" t="s">
        <v>310</v>
      </c>
      <c r="D458" t="s">
        <v>303</v>
      </c>
      <c r="E458" t="s">
        <v>312</v>
      </c>
      <c r="F458">
        <v>44</v>
      </c>
      <c r="G458" s="31">
        <v>4400</v>
      </c>
    </row>
    <row r="459" spans="1:7" x14ac:dyDescent="0.25">
      <c r="A459" t="s">
        <v>279</v>
      </c>
      <c r="B459" t="s">
        <v>290</v>
      </c>
      <c r="C459" t="s">
        <v>309</v>
      </c>
      <c r="D459" t="s">
        <v>294</v>
      </c>
      <c r="E459" t="s">
        <v>312</v>
      </c>
      <c r="F459">
        <v>33</v>
      </c>
      <c r="G459" s="31">
        <v>3300</v>
      </c>
    </row>
    <row r="460" spans="1:7" x14ac:dyDescent="0.25">
      <c r="A460" t="s">
        <v>279</v>
      </c>
      <c r="B460" t="s">
        <v>291</v>
      </c>
      <c r="C460" t="s">
        <v>308</v>
      </c>
      <c r="D460" t="s">
        <v>298</v>
      </c>
      <c r="E460" t="s">
        <v>312</v>
      </c>
      <c r="F460">
        <v>22</v>
      </c>
      <c r="G460" s="31">
        <v>2200</v>
      </c>
    </row>
    <row r="461" spans="1:7" x14ac:dyDescent="0.25">
      <c r="A461" t="s">
        <v>279</v>
      </c>
      <c r="B461" t="s">
        <v>291</v>
      </c>
      <c r="C461" t="s">
        <v>307</v>
      </c>
      <c r="D461" t="s">
        <v>294</v>
      </c>
      <c r="E461" t="s">
        <v>299</v>
      </c>
      <c r="F461">
        <v>11</v>
      </c>
      <c r="G461" s="31">
        <v>1100</v>
      </c>
    </row>
    <row r="462" spans="1:7" x14ac:dyDescent="0.25">
      <c r="A462" t="s">
        <v>313</v>
      </c>
      <c r="B462" t="s">
        <v>290</v>
      </c>
      <c r="C462" t="s">
        <v>314</v>
      </c>
      <c r="D462" t="s">
        <v>294</v>
      </c>
      <c r="E462" t="s">
        <v>301</v>
      </c>
      <c r="F462">
        <v>75</v>
      </c>
      <c r="G462" s="31">
        <v>3200</v>
      </c>
    </row>
    <row r="463" spans="1:7" x14ac:dyDescent="0.25">
      <c r="A463" t="s">
        <v>315</v>
      </c>
      <c r="B463" t="s">
        <v>290</v>
      </c>
      <c r="C463" t="s">
        <v>314</v>
      </c>
      <c r="D463" t="s">
        <v>298</v>
      </c>
      <c r="E463" t="s">
        <v>298</v>
      </c>
      <c r="F463">
        <v>45</v>
      </c>
      <c r="G463" s="31">
        <v>10000</v>
      </c>
    </row>
    <row r="464" spans="1:7" x14ac:dyDescent="0.25">
      <c r="A464" t="s">
        <v>315</v>
      </c>
      <c r="B464" t="s">
        <v>290</v>
      </c>
      <c r="C464" t="s">
        <v>308</v>
      </c>
      <c r="D464" t="s">
        <v>295</v>
      </c>
      <c r="E464" t="s">
        <v>299</v>
      </c>
      <c r="F464">
        <v>10</v>
      </c>
      <c r="G464" s="31">
        <v>25000</v>
      </c>
    </row>
    <row r="465" spans="1:8" x14ac:dyDescent="0.25">
      <c r="A465" t="s">
        <v>315</v>
      </c>
      <c r="B465" t="s">
        <v>291</v>
      </c>
      <c r="C465" t="s">
        <v>292</v>
      </c>
      <c r="D465" t="s">
        <v>298</v>
      </c>
      <c r="E465" t="s">
        <v>298</v>
      </c>
      <c r="F465">
        <v>27</v>
      </c>
      <c r="G465" s="31">
        <v>20000</v>
      </c>
    </row>
    <row r="466" spans="1:8" x14ac:dyDescent="0.25">
      <c r="A466" t="s">
        <v>315</v>
      </c>
      <c r="B466" t="s">
        <v>291</v>
      </c>
      <c r="C466" t="s">
        <v>316</v>
      </c>
      <c r="D466" t="s">
        <v>303</v>
      </c>
      <c r="E466" t="s">
        <v>298</v>
      </c>
      <c r="F466">
        <v>72</v>
      </c>
      <c r="G466" s="31">
        <v>15000</v>
      </c>
    </row>
    <row r="467" spans="1:8" x14ac:dyDescent="0.25">
      <c r="A467" t="s">
        <v>315</v>
      </c>
      <c r="B467" t="s">
        <v>291</v>
      </c>
      <c r="C467" t="s">
        <v>316</v>
      </c>
      <c r="D467" t="s">
        <v>294</v>
      </c>
      <c r="E467" t="s">
        <v>301</v>
      </c>
      <c r="F467">
        <v>89</v>
      </c>
      <c r="G467" s="31">
        <v>10000</v>
      </c>
    </row>
    <row r="469" spans="1:8" x14ac:dyDescent="0.25">
      <c r="A469" s="35" t="s">
        <v>320</v>
      </c>
      <c r="B469" s="35" t="s">
        <v>321</v>
      </c>
    </row>
    <row r="470" spans="1:8" x14ac:dyDescent="0.25">
      <c r="A470" s="35" t="s">
        <v>322</v>
      </c>
      <c r="B470" t="s">
        <v>315</v>
      </c>
      <c r="C470" t="s">
        <v>280</v>
      </c>
      <c r="D470" t="s">
        <v>282</v>
      </c>
      <c r="E470" t="s">
        <v>313</v>
      </c>
      <c r="F470" t="s">
        <v>272</v>
      </c>
      <c r="G470" t="s">
        <v>279</v>
      </c>
      <c r="H470" t="s">
        <v>283</v>
      </c>
    </row>
    <row r="471" spans="1:8" x14ac:dyDescent="0.25">
      <c r="A471" s="33" t="s">
        <v>311</v>
      </c>
      <c r="B471" s="4"/>
      <c r="C471" s="4"/>
      <c r="D471" s="4"/>
      <c r="E471" s="4"/>
      <c r="F471" s="4"/>
      <c r="G471" s="4">
        <v>5500</v>
      </c>
      <c r="H471" s="4">
        <v>5500</v>
      </c>
    </row>
    <row r="472" spans="1:8" x14ac:dyDescent="0.25">
      <c r="A472" s="37" t="s">
        <v>294</v>
      </c>
      <c r="B472" s="4"/>
      <c r="C472" s="4"/>
      <c r="D472" s="4"/>
      <c r="E472" s="4"/>
      <c r="F472" s="4"/>
      <c r="G472" s="4">
        <v>5500</v>
      </c>
      <c r="H472" s="4">
        <v>5500</v>
      </c>
    </row>
    <row r="473" spans="1:8" x14ac:dyDescent="0.25">
      <c r="A473" s="33" t="s">
        <v>314</v>
      </c>
      <c r="B473" s="4">
        <v>10000</v>
      </c>
      <c r="C473" s="4"/>
      <c r="D473" s="4"/>
      <c r="E473" s="4">
        <v>3200</v>
      </c>
      <c r="F473" s="4"/>
      <c r="G473" s="4"/>
      <c r="H473" s="4">
        <v>13200</v>
      </c>
    </row>
    <row r="474" spans="1:8" x14ac:dyDescent="0.25">
      <c r="A474" s="37" t="s">
        <v>294</v>
      </c>
      <c r="B474" s="4"/>
      <c r="C474" s="4"/>
      <c r="D474" s="4"/>
      <c r="E474" s="4">
        <v>3200</v>
      </c>
      <c r="F474" s="4"/>
      <c r="G474" s="4"/>
      <c r="H474" s="4">
        <v>3200</v>
      </c>
    </row>
    <row r="475" spans="1:8" x14ac:dyDescent="0.25">
      <c r="A475" s="37" t="s">
        <v>298</v>
      </c>
      <c r="B475" s="4">
        <v>10000</v>
      </c>
      <c r="C475" s="4"/>
      <c r="D475" s="4"/>
      <c r="E475" s="4"/>
      <c r="F475" s="4"/>
      <c r="G475" s="4"/>
      <c r="H475" s="4">
        <v>10000</v>
      </c>
    </row>
    <row r="476" spans="1:8" x14ac:dyDescent="0.25">
      <c r="A476" s="33" t="s">
        <v>292</v>
      </c>
      <c r="B476" s="4">
        <v>20000</v>
      </c>
      <c r="C476" s="4"/>
      <c r="D476" s="4">
        <v>1000</v>
      </c>
      <c r="E476" s="4"/>
      <c r="F476" s="4">
        <v>27000</v>
      </c>
      <c r="G476" s="4"/>
      <c r="H476" s="4">
        <v>48000</v>
      </c>
    </row>
    <row r="477" spans="1:8" x14ac:dyDescent="0.25">
      <c r="A477" s="37" t="s">
        <v>294</v>
      </c>
      <c r="B477" s="4"/>
      <c r="C477" s="4"/>
      <c r="D477" s="4">
        <v>1000</v>
      </c>
      <c r="E477" s="4"/>
      <c r="F477" s="4"/>
      <c r="G477" s="4"/>
      <c r="H477" s="4">
        <v>1000</v>
      </c>
    </row>
    <row r="478" spans="1:8" x14ac:dyDescent="0.25">
      <c r="A478" s="37" t="s">
        <v>298</v>
      </c>
      <c r="B478" s="4">
        <v>20000</v>
      </c>
      <c r="C478" s="4"/>
      <c r="D478" s="4"/>
      <c r="E478" s="4"/>
      <c r="F478" s="4"/>
      <c r="G478" s="4"/>
      <c r="H478" s="4">
        <v>20000</v>
      </c>
    </row>
    <row r="479" spans="1:8" x14ac:dyDescent="0.25">
      <c r="A479" s="37" t="s">
        <v>303</v>
      </c>
      <c r="B479" s="4"/>
      <c r="C479" s="4"/>
      <c r="D479" s="4"/>
      <c r="E479" s="4"/>
      <c r="F479" s="4">
        <v>15000</v>
      </c>
      <c r="G479" s="4"/>
      <c r="H479" s="4">
        <v>15000</v>
      </c>
    </row>
    <row r="480" spans="1:8" x14ac:dyDescent="0.25">
      <c r="A480" s="37" t="s">
        <v>295</v>
      </c>
      <c r="B480" s="4"/>
      <c r="C480" s="4"/>
      <c r="D480" s="4"/>
      <c r="E480" s="4"/>
      <c r="F480" s="4">
        <v>12000</v>
      </c>
      <c r="G480" s="4"/>
      <c r="H480" s="4">
        <v>12000</v>
      </c>
    </row>
    <row r="481" spans="1:8" x14ac:dyDescent="0.25">
      <c r="A481" s="33" t="s">
        <v>316</v>
      </c>
      <c r="B481" s="4">
        <v>25000</v>
      </c>
      <c r="C481" s="4"/>
      <c r="D481" s="4"/>
      <c r="E481" s="4"/>
      <c r="F481" s="4"/>
      <c r="G481" s="4"/>
      <c r="H481" s="4">
        <v>25000</v>
      </c>
    </row>
    <row r="482" spans="1:8" x14ac:dyDescent="0.25">
      <c r="A482" s="37" t="s">
        <v>294</v>
      </c>
      <c r="B482" s="4">
        <v>10000</v>
      </c>
      <c r="C482" s="4"/>
      <c r="D482" s="4"/>
      <c r="E482" s="4"/>
      <c r="F482" s="4"/>
      <c r="G482" s="4"/>
      <c r="H482" s="4">
        <v>10000</v>
      </c>
    </row>
    <row r="483" spans="1:8" x14ac:dyDescent="0.25">
      <c r="A483" s="37" t="s">
        <v>303</v>
      </c>
      <c r="B483" s="4">
        <v>15000</v>
      </c>
      <c r="C483" s="4"/>
      <c r="D483" s="4"/>
      <c r="E483" s="4"/>
      <c r="F483" s="4"/>
      <c r="G483" s="4"/>
      <c r="H483" s="4">
        <v>15000</v>
      </c>
    </row>
    <row r="484" spans="1:8" x14ac:dyDescent="0.25">
      <c r="A484" s="33" t="s">
        <v>308</v>
      </c>
      <c r="B484" s="4">
        <v>25000</v>
      </c>
      <c r="C484" s="4"/>
      <c r="D484" s="4"/>
      <c r="E484" s="4"/>
      <c r="F484" s="4"/>
      <c r="G484" s="4">
        <v>2200</v>
      </c>
      <c r="H484" s="4">
        <v>27200</v>
      </c>
    </row>
    <row r="485" spans="1:8" x14ac:dyDescent="0.25">
      <c r="A485" s="37" t="s">
        <v>298</v>
      </c>
      <c r="B485" s="4"/>
      <c r="C485" s="4"/>
      <c r="D485" s="4"/>
      <c r="E485" s="4"/>
      <c r="F485" s="4"/>
      <c r="G485" s="4">
        <v>2200</v>
      </c>
      <c r="H485" s="4">
        <v>2200</v>
      </c>
    </row>
    <row r="486" spans="1:8" x14ac:dyDescent="0.25">
      <c r="A486" s="37" t="s">
        <v>295</v>
      </c>
      <c r="B486" s="4">
        <v>25000</v>
      </c>
      <c r="C486" s="4"/>
      <c r="D486" s="4"/>
      <c r="E486" s="4"/>
      <c r="F486" s="4"/>
      <c r="G486" s="4"/>
      <c r="H486" s="4">
        <v>25000</v>
      </c>
    </row>
    <row r="487" spans="1:8" x14ac:dyDescent="0.25">
      <c r="A487" s="33" t="s">
        <v>309</v>
      </c>
      <c r="B487" s="4"/>
      <c r="C487" s="4"/>
      <c r="D487" s="4"/>
      <c r="E487" s="4"/>
      <c r="F487" s="4"/>
      <c r="G487" s="4">
        <v>3300</v>
      </c>
      <c r="H487" s="4">
        <v>3300</v>
      </c>
    </row>
    <row r="488" spans="1:8" x14ac:dyDescent="0.25">
      <c r="A488" s="37" t="s">
        <v>294</v>
      </c>
      <c r="B488" s="4"/>
      <c r="C488" s="4"/>
      <c r="D488" s="4"/>
      <c r="E488" s="4"/>
      <c r="F488" s="4"/>
      <c r="G488" s="4">
        <v>3300</v>
      </c>
      <c r="H488" s="4">
        <v>3300</v>
      </c>
    </row>
    <row r="489" spans="1:8" x14ac:dyDescent="0.25">
      <c r="A489" s="33" t="s">
        <v>300</v>
      </c>
      <c r="B489" s="4"/>
      <c r="C489" s="4"/>
      <c r="D489" s="4">
        <v>1500</v>
      </c>
      <c r="E489" s="4"/>
      <c r="F489" s="4"/>
      <c r="G489" s="4"/>
      <c r="H489" s="4">
        <v>1500</v>
      </c>
    </row>
    <row r="490" spans="1:8" x14ac:dyDescent="0.25">
      <c r="A490" s="37" t="s">
        <v>298</v>
      </c>
      <c r="B490" s="4"/>
      <c r="C490" s="4"/>
      <c r="D490" s="4">
        <v>1500</v>
      </c>
      <c r="E490" s="4"/>
      <c r="F490" s="4"/>
      <c r="G490" s="4"/>
      <c r="H490" s="4">
        <v>1500</v>
      </c>
    </row>
    <row r="491" spans="1:8" x14ac:dyDescent="0.25">
      <c r="A491" s="33" t="s">
        <v>293</v>
      </c>
      <c r="B491" s="4"/>
      <c r="C491" s="4"/>
      <c r="D491" s="4">
        <v>4500</v>
      </c>
      <c r="E491" s="4"/>
      <c r="F491" s="4">
        <v>9000</v>
      </c>
      <c r="G491" s="4">
        <v>6600</v>
      </c>
      <c r="H491" s="4">
        <v>20100</v>
      </c>
    </row>
    <row r="492" spans="1:8" x14ac:dyDescent="0.25">
      <c r="A492" s="37" t="s">
        <v>298</v>
      </c>
      <c r="B492" s="4"/>
      <c r="C492" s="4"/>
      <c r="D492" s="4">
        <v>2000</v>
      </c>
      <c r="E492" s="4"/>
      <c r="F492" s="4"/>
      <c r="G492" s="4">
        <v>6600</v>
      </c>
      <c r="H492" s="4">
        <v>8600</v>
      </c>
    </row>
    <row r="493" spans="1:8" x14ac:dyDescent="0.25">
      <c r="A493" s="37" t="s">
        <v>303</v>
      </c>
      <c r="B493" s="4"/>
      <c r="C493" s="4"/>
      <c r="D493" s="4"/>
      <c r="E493" s="4"/>
      <c r="F493" s="4">
        <v>9000</v>
      </c>
      <c r="G493" s="4"/>
      <c r="H493" s="4">
        <v>9000</v>
      </c>
    </row>
    <row r="494" spans="1:8" x14ac:dyDescent="0.25">
      <c r="A494" s="37" t="s">
        <v>295</v>
      </c>
      <c r="B494" s="4"/>
      <c r="C494" s="4"/>
      <c r="D494" s="4">
        <v>2500</v>
      </c>
      <c r="E494" s="4"/>
      <c r="F494" s="4"/>
      <c r="G494" s="4"/>
      <c r="H494" s="4">
        <v>2500</v>
      </c>
    </row>
    <row r="495" spans="1:8" x14ac:dyDescent="0.25">
      <c r="A495" s="33" t="s">
        <v>302</v>
      </c>
      <c r="B495" s="4"/>
      <c r="C495" s="4">
        <v>300</v>
      </c>
      <c r="D495" s="4"/>
      <c r="E495" s="4"/>
      <c r="F495" s="4"/>
      <c r="G495" s="4"/>
      <c r="H495" s="4">
        <v>300</v>
      </c>
    </row>
    <row r="496" spans="1:8" x14ac:dyDescent="0.25">
      <c r="A496" s="37" t="s">
        <v>303</v>
      </c>
      <c r="B496" s="4"/>
      <c r="C496" s="4">
        <v>300</v>
      </c>
      <c r="D496" s="4"/>
      <c r="E496" s="4"/>
      <c r="F496" s="4"/>
      <c r="G496" s="4"/>
      <c r="H496" s="4">
        <v>300</v>
      </c>
    </row>
    <row r="497" spans="1:9" x14ac:dyDescent="0.25">
      <c r="A497" s="33" t="s">
        <v>304</v>
      </c>
      <c r="B497" s="4"/>
      <c r="C497" s="4">
        <v>400</v>
      </c>
      <c r="D497" s="4"/>
      <c r="E497" s="4"/>
      <c r="F497" s="4"/>
      <c r="G497" s="4"/>
      <c r="H497" s="4">
        <v>400</v>
      </c>
    </row>
    <row r="498" spans="1:9" x14ac:dyDescent="0.25">
      <c r="A498" s="37" t="s">
        <v>298</v>
      </c>
      <c r="B498" s="4"/>
      <c r="C498" s="4">
        <v>400</v>
      </c>
      <c r="D498" s="4"/>
      <c r="E498" s="4"/>
      <c r="F498" s="4"/>
      <c r="G498" s="4"/>
      <c r="H498" s="4">
        <v>400</v>
      </c>
    </row>
    <row r="499" spans="1:9" x14ac:dyDescent="0.25">
      <c r="A499" s="33" t="s">
        <v>307</v>
      </c>
      <c r="B499" s="4"/>
      <c r="C499" s="4"/>
      <c r="D499" s="4"/>
      <c r="E499" s="4"/>
      <c r="F499" s="4"/>
      <c r="G499" s="4">
        <v>1100</v>
      </c>
      <c r="H499" s="4">
        <v>1100</v>
      </c>
    </row>
    <row r="500" spans="1:9" x14ac:dyDescent="0.25">
      <c r="A500" s="37" t="s">
        <v>294</v>
      </c>
      <c r="B500" s="4"/>
      <c r="C500" s="4"/>
      <c r="D500" s="4"/>
      <c r="E500" s="4"/>
      <c r="F500" s="4"/>
      <c r="G500" s="4">
        <v>1100</v>
      </c>
      <c r="H500" s="4">
        <v>1100</v>
      </c>
    </row>
    <row r="501" spans="1:9" x14ac:dyDescent="0.25">
      <c r="A501" s="33" t="s">
        <v>310</v>
      </c>
      <c r="B501" s="4"/>
      <c r="C501" s="4"/>
      <c r="D501" s="4"/>
      <c r="E501" s="4"/>
      <c r="F501" s="4"/>
      <c r="G501" s="4">
        <v>4400</v>
      </c>
      <c r="H501" s="4">
        <v>4400</v>
      </c>
    </row>
    <row r="502" spans="1:9" x14ac:dyDescent="0.25">
      <c r="A502" s="37" t="s">
        <v>303</v>
      </c>
      <c r="B502" s="4"/>
      <c r="C502" s="4"/>
      <c r="D502" s="4"/>
      <c r="E502" s="4"/>
      <c r="F502" s="4"/>
      <c r="G502" s="4">
        <v>4400</v>
      </c>
      <c r="H502" s="4">
        <v>4400</v>
      </c>
    </row>
    <row r="503" spans="1:9" x14ac:dyDescent="0.25">
      <c r="A503" s="33" t="s">
        <v>283</v>
      </c>
      <c r="B503" s="4">
        <v>80000</v>
      </c>
      <c r="C503" s="4">
        <v>700</v>
      </c>
      <c r="D503" s="4">
        <v>7000</v>
      </c>
      <c r="E503" s="4">
        <v>3200</v>
      </c>
      <c r="F503" s="4">
        <v>36000</v>
      </c>
      <c r="G503" s="4">
        <v>23100</v>
      </c>
      <c r="H503" s="4">
        <v>150000</v>
      </c>
    </row>
    <row r="506" spans="1:9" x14ac:dyDescent="0.25">
      <c r="A506" t="s">
        <v>323</v>
      </c>
      <c r="B506">
        <v>1</v>
      </c>
      <c r="C506">
        <f>IF(0&lt;B506+B507,1,0)</f>
        <v>1</v>
      </c>
      <c r="G506">
        <f>IF(B506+B507+B508=3,1,0)</f>
        <v>1</v>
      </c>
      <c r="H506">
        <f>IF(G506+G507,1,0)</f>
        <v>1</v>
      </c>
      <c r="I506" t="s">
        <v>330</v>
      </c>
    </row>
    <row r="507" spans="1:9" x14ac:dyDescent="0.25">
      <c r="A507" t="s">
        <v>324</v>
      </c>
      <c r="B507">
        <v>1</v>
      </c>
      <c r="D507">
        <f>IF(B508+C506&gt;1, 1, 0)</f>
        <v>1</v>
      </c>
      <c r="G507">
        <f>IF(B506+B507+B508,1,0)</f>
        <v>1</v>
      </c>
    </row>
    <row r="508" spans="1:9" x14ac:dyDescent="0.25">
      <c r="A508" t="s">
        <v>325</v>
      </c>
      <c r="B508">
        <v>1</v>
      </c>
      <c r="D508">
        <f>IF(B507+B508=2, 1, 0)</f>
        <v>1</v>
      </c>
      <c r="E508">
        <f>IF(D507+D508+B509&gt;0,1,0)</f>
        <v>1</v>
      </c>
      <c r="F508">
        <f>IF(E508=1,0,1)</f>
        <v>0</v>
      </c>
      <c r="G508">
        <f>IF(F508+B511&gt;0,1,0)</f>
        <v>0</v>
      </c>
    </row>
    <row r="509" spans="1:9" x14ac:dyDescent="0.25">
      <c r="A509" t="s">
        <v>327</v>
      </c>
      <c r="B509">
        <v>0</v>
      </c>
    </row>
    <row r="510" spans="1:9" x14ac:dyDescent="0.25">
      <c r="A510" t="s">
        <v>326</v>
      </c>
      <c r="B510">
        <v>0</v>
      </c>
      <c r="F510">
        <f>IF(F508+B510&gt;0,1,0)</f>
        <v>0</v>
      </c>
    </row>
    <row r="511" spans="1:9" x14ac:dyDescent="0.25">
      <c r="A511" t="s">
        <v>328</v>
      </c>
      <c r="B511">
        <v>0</v>
      </c>
      <c r="F511">
        <f>IF(F510=0,1,0)</f>
        <v>1</v>
      </c>
    </row>
    <row r="512" spans="1:9" x14ac:dyDescent="0.25">
      <c r="F512" t="s">
        <v>329</v>
      </c>
    </row>
    <row r="513" spans="1:9" x14ac:dyDescent="0.25">
      <c r="A513" t="s">
        <v>325</v>
      </c>
      <c r="B513">
        <v>1</v>
      </c>
    </row>
    <row r="514" spans="1:9" x14ac:dyDescent="0.25">
      <c r="A514" t="s">
        <v>333</v>
      </c>
      <c r="B514">
        <v>1</v>
      </c>
    </row>
    <row r="515" spans="1:9" x14ac:dyDescent="0.25">
      <c r="A515" t="s">
        <v>334</v>
      </c>
      <c r="B515">
        <v>1</v>
      </c>
    </row>
    <row r="516" spans="1:9" x14ac:dyDescent="0.25">
      <c r="A516" t="s">
        <v>332</v>
      </c>
      <c r="B516">
        <v>1</v>
      </c>
      <c r="C516">
        <v>1</v>
      </c>
      <c r="D516">
        <v>1</v>
      </c>
      <c r="E516">
        <v>1</v>
      </c>
      <c r="F516">
        <v>1</v>
      </c>
      <c r="G516">
        <v>1</v>
      </c>
      <c r="H516">
        <v>1</v>
      </c>
      <c r="I516">
        <v>1</v>
      </c>
    </row>
    <row r="517" spans="1:9" x14ac:dyDescent="0.25">
      <c r="A517" t="s">
        <v>331</v>
      </c>
      <c r="B517">
        <v>0</v>
      </c>
      <c r="C517">
        <v>1</v>
      </c>
      <c r="D517">
        <v>1</v>
      </c>
      <c r="E517">
        <v>1</v>
      </c>
      <c r="F517">
        <v>1</v>
      </c>
      <c r="G517">
        <v>1</v>
      </c>
      <c r="H517">
        <v>1</v>
      </c>
      <c r="I517">
        <v>1</v>
      </c>
    </row>
    <row r="518" spans="1:9" x14ac:dyDescent="0.25">
      <c r="A518" t="s">
        <v>335</v>
      </c>
      <c r="B518">
        <v>1</v>
      </c>
    </row>
    <row r="519" spans="1:9" x14ac:dyDescent="0.25">
      <c r="A519" t="s">
        <v>327</v>
      </c>
      <c r="B519">
        <v>0</v>
      </c>
    </row>
    <row r="520" spans="1:9" x14ac:dyDescent="0.25">
      <c r="A520" t="s">
        <v>326</v>
      </c>
      <c r="B520">
        <v>0</v>
      </c>
    </row>
    <row r="521" spans="1:9" x14ac:dyDescent="0.25">
      <c r="A521" t="s">
        <v>328</v>
      </c>
      <c r="B521">
        <v>0</v>
      </c>
    </row>
    <row r="522" spans="1:9" x14ac:dyDescent="0.25">
      <c r="A522" t="s">
        <v>336</v>
      </c>
      <c r="B522">
        <f>B514</f>
        <v>1</v>
      </c>
      <c r="C522">
        <f>IF(B522&gt;127,B522-128,B522)</f>
        <v>1</v>
      </c>
      <c r="D522">
        <f>IF(C522&gt;63,C522-64,C522)</f>
        <v>1</v>
      </c>
      <c r="E522">
        <f>IF(D522&gt;31,D522-32,D522)</f>
        <v>1</v>
      </c>
      <c r="F522">
        <f>IF(E522&gt;15,E522-16,E522)</f>
        <v>1</v>
      </c>
      <c r="G522">
        <f>IF(F522&gt;7,F522-8,F522)</f>
        <v>1</v>
      </c>
      <c r="H522">
        <f>IF(G522&gt;3,G522-4,G522)</f>
        <v>1</v>
      </c>
      <c r="I522">
        <f>IF(H522&gt;1,H522-2,H522)</f>
        <v>1</v>
      </c>
    </row>
    <row r="523" spans="1:9" x14ac:dyDescent="0.25">
      <c r="A523" t="s">
        <v>337</v>
      </c>
      <c r="B523">
        <f>B515</f>
        <v>1</v>
      </c>
      <c r="C523">
        <f>IF(B523&gt;127,B523-128,B523)</f>
        <v>1</v>
      </c>
      <c r="D523">
        <f>IF(C523&gt;63,C523-64,C523)</f>
        <v>1</v>
      </c>
      <c r="E523">
        <f>IF(D523&gt;31,D523-32,D523)</f>
        <v>1</v>
      </c>
      <c r="F523">
        <f>IF(E523&gt;15,E523-16,E523)</f>
        <v>1</v>
      </c>
      <c r="G523">
        <f>IF(F523&gt;7,F523-8,F523)</f>
        <v>1</v>
      </c>
      <c r="H523">
        <f>IF(G523&gt;3,G523-4,G523)</f>
        <v>1</v>
      </c>
      <c r="I523">
        <f>IF(H523&gt;1,H523-2,H523)</f>
        <v>1</v>
      </c>
    </row>
    <row r="524" spans="1:9" x14ac:dyDescent="0.25">
      <c r="A524" t="s">
        <v>338</v>
      </c>
      <c r="B524">
        <f>IF(B522&gt;127,1,0)</f>
        <v>0</v>
      </c>
      <c r="C524">
        <f>IF(C522&gt;63,1,0)</f>
        <v>0</v>
      </c>
      <c r="D524">
        <f>IF(D522&gt;31,1,0)</f>
        <v>0</v>
      </c>
      <c r="E524">
        <f>IF(E522&gt;15,1,0)</f>
        <v>0</v>
      </c>
      <c r="F524">
        <f>IF(F522&gt;7,1,0)</f>
        <v>0</v>
      </c>
      <c r="G524">
        <f>IF(G522&gt;3,1,0)</f>
        <v>0</v>
      </c>
      <c r="H524">
        <f>IF(H522&gt;1,1,0)</f>
        <v>0</v>
      </c>
      <c r="I524">
        <f>IF(I522&gt;0,1,0)</f>
        <v>1</v>
      </c>
    </row>
    <row r="525" spans="1:9" x14ac:dyDescent="0.25">
      <c r="A525" t="s">
        <v>339</v>
      </c>
      <c r="B525">
        <f>IF(B523&gt;127,1,0)</f>
        <v>0</v>
      </c>
      <c r="C525">
        <f>IF(C523&gt;63,1,0)</f>
        <v>0</v>
      </c>
      <c r="D525">
        <f>IF(D523&gt;31,1,0)</f>
        <v>0</v>
      </c>
      <c r="E525">
        <f>IF(E523&gt;15,1,0)</f>
        <v>0</v>
      </c>
      <c r="F525">
        <f>IF(F523&gt;7,1,0)</f>
        <v>0</v>
      </c>
      <c r="G525">
        <f>IF(G523&gt;3,1,0)</f>
        <v>0</v>
      </c>
      <c r="H525">
        <f>IF(H523&gt;1,1,0)</f>
        <v>0</v>
      </c>
      <c r="I525">
        <f>IF(I523&gt;0,1,0)</f>
        <v>1</v>
      </c>
    </row>
    <row r="526" spans="1:9" x14ac:dyDescent="0.25">
      <c r="A526" t="s">
        <v>323</v>
      </c>
      <c r="B526">
        <f>IF($B$518=0,B516,B524)</f>
        <v>0</v>
      </c>
      <c r="C526">
        <f t="shared" ref="C526:F526" si="472">IF($B$518=0,C516,C524)</f>
        <v>0</v>
      </c>
      <c r="D526">
        <f t="shared" si="472"/>
        <v>0</v>
      </c>
      <c r="E526">
        <f t="shared" si="472"/>
        <v>0</v>
      </c>
      <c r="F526">
        <f t="shared" si="472"/>
        <v>0</v>
      </c>
      <c r="G526">
        <f>IF($B$518=0,G517,G524)</f>
        <v>0</v>
      </c>
      <c r="H526">
        <f>IF($B$518=0,H517,H524)</f>
        <v>0</v>
      </c>
      <c r="I526">
        <f>IF($B$518=0,I517,I524)</f>
        <v>1</v>
      </c>
    </row>
    <row r="527" spans="1:9" x14ac:dyDescent="0.25">
      <c r="A527" t="s">
        <v>324</v>
      </c>
      <c r="B527">
        <f>IF($B$518=0,B517,B525)</f>
        <v>0</v>
      </c>
      <c r="C527">
        <f>IF($B$518=0,C517,C525)</f>
        <v>0</v>
      </c>
      <c r="D527">
        <f t="shared" ref="D527:F527" si="473">IF($B$518=0,D517,D525)</f>
        <v>0</v>
      </c>
      <c r="E527">
        <f t="shared" si="473"/>
        <v>0</v>
      </c>
      <c r="F527">
        <f t="shared" si="473"/>
        <v>0</v>
      </c>
      <c r="G527">
        <f>IF($B$518=0,#REF!,G525)</f>
        <v>0</v>
      </c>
      <c r="H527">
        <f>IF($B$518=0,#REF!,H525)</f>
        <v>0</v>
      </c>
      <c r="I527">
        <f>IF($B$518=0,#REF!,I525)</f>
        <v>1</v>
      </c>
    </row>
    <row r="528" spans="1:9" x14ac:dyDescent="0.25">
      <c r="A528" t="s">
        <v>325</v>
      </c>
      <c r="B528">
        <f>B513</f>
        <v>1</v>
      </c>
      <c r="C528">
        <f>B535</f>
        <v>0</v>
      </c>
      <c r="D528">
        <f t="shared" ref="D528:H528" si="474">C535</f>
        <v>0</v>
      </c>
      <c r="E528">
        <f t="shared" si="474"/>
        <v>0</v>
      </c>
      <c r="F528">
        <f t="shared" si="474"/>
        <v>0</v>
      </c>
      <c r="G528">
        <f t="shared" si="474"/>
        <v>0</v>
      </c>
      <c r="H528">
        <f t="shared" si="474"/>
        <v>0</v>
      </c>
      <c r="I528">
        <f>H535</f>
        <v>0</v>
      </c>
    </row>
    <row r="529" spans="1:9" x14ac:dyDescent="0.25">
      <c r="A529" t="s">
        <v>340</v>
      </c>
      <c r="B529">
        <f>IF(B526+B527&gt;1,1,0)</f>
        <v>0</v>
      </c>
      <c r="C529">
        <f t="shared" ref="C529:F529" si="475">IF(C526+C527&gt;1,1,0)</f>
        <v>0</v>
      </c>
      <c r="D529">
        <f t="shared" si="475"/>
        <v>0</v>
      </c>
      <c r="E529">
        <f t="shared" si="475"/>
        <v>0</v>
      </c>
      <c r="F529">
        <f t="shared" si="475"/>
        <v>0</v>
      </c>
      <c r="G529">
        <f t="shared" ref="G529:I529" si="476">IF(G526+G527&gt;1,1,0)</f>
        <v>0</v>
      </c>
      <c r="H529">
        <f t="shared" si="476"/>
        <v>0</v>
      </c>
      <c r="I529">
        <f t="shared" si="476"/>
        <v>1</v>
      </c>
    </row>
    <row r="530" spans="1:9" x14ac:dyDescent="0.25">
      <c r="A530" t="s">
        <v>341</v>
      </c>
      <c r="B530">
        <f>IF(B526+B527&gt;0,1,0)</f>
        <v>0</v>
      </c>
      <c r="C530">
        <f t="shared" ref="C530:F530" si="477">IF(C526+C527&gt;0,1,0)</f>
        <v>0</v>
      </c>
      <c r="D530">
        <f t="shared" si="477"/>
        <v>0</v>
      </c>
      <c r="E530">
        <f t="shared" si="477"/>
        <v>0</v>
      </c>
      <c r="F530">
        <f t="shared" si="477"/>
        <v>0</v>
      </c>
      <c r="G530">
        <f t="shared" ref="G530:I530" si="478">IF(G526+G527&gt;0,1,0)</f>
        <v>0</v>
      </c>
      <c r="H530">
        <f t="shared" si="478"/>
        <v>0</v>
      </c>
      <c r="I530">
        <f t="shared" si="478"/>
        <v>1</v>
      </c>
    </row>
    <row r="531" spans="1:9" x14ac:dyDescent="0.25">
      <c r="A531" t="s">
        <v>342</v>
      </c>
      <c r="B531">
        <f>IF(B528+B530&gt;1,1,0)</f>
        <v>0</v>
      </c>
      <c r="C531">
        <f t="shared" ref="C531:I531" si="479">IF(C528+C530&gt;1,1,0)</f>
        <v>0</v>
      </c>
      <c r="D531">
        <f t="shared" si="479"/>
        <v>0</v>
      </c>
      <c r="E531">
        <f t="shared" si="479"/>
        <v>0</v>
      </c>
      <c r="F531">
        <f t="shared" si="479"/>
        <v>0</v>
      </c>
      <c r="G531">
        <f t="shared" si="479"/>
        <v>0</v>
      </c>
      <c r="H531">
        <f t="shared" si="479"/>
        <v>0</v>
      </c>
      <c r="I531">
        <f t="shared" si="479"/>
        <v>0</v>
      </c>
    </row>
    <row r="532" spans="1:9" x14ac:dyDescent="0.25">
      <c r="A532" t="s">
        <v>343</v>
      </c>
      <c r="B532">
        <f>IF(B531+B529+$B$519&gt;0,1,0)</f>
        <v>0</v>
      </c>
      <c r="C532">
        <f t="shared" ref="C532:I532" si="480">IF(C531+C529+$B$519&gt;0,1,0)</f>
        <v>0</v>
      </c>
      <c r="D532">
        <f t="shared" si="480"/>
        <v>0</v>
      </c>
      <c r="E532">
        <f t="shared" si="480"/>
        <v>0</v>
      </c>
      <c r="F532">
        <f t="shared" si="480"/>
        <v>0</v>
      </c>
      <c r="G532">
        <f t="shared" si="480"/>
        <v>0</v>
      </c>
      <c r="H532">
        <f t="shared" si="480"/>
        <v>0</v>
      </c>
      <c r="I532">
        <f t="shared" si="480"/>
        <v>1</v>
      </c>
    </row>
    <row r="533" spans="1:9" x14ac:dyDescent="0.25">
      <c r="A533" t="s">
        <v>344</v>
      </c>
      <c r="B533">
        <f>IF(B532=0,1,0)</f>
        <v>1</v>
      </c>
      <c r="C533">
        <f t="shared" ref="C533:I533" si="481">IF(C532=0,1,0)</f>
        <v>1</v>
      </c>
      <c r="D533">
        <f t="shared" si="481"/>
        <v>1</v>
      </c>
      <c r="E533">
        <f t="shared" si="481"/>
        <v>1</v>
      </c>
      <c r="F533">
        <f t="shared" si="481"/>
        <v>1</v>
      </c>
      <c r="G533">
        <f t="shared" si="481"/>
        <v>1</v>
      </c>
      <c r="H533">
        <f t="shared" si="481"/>
        <v>1</v>
      </c>
      <c r="I533">
        <f t="shared" si="481"/>
        <v>0</v>
      </c>
    </row>
    <row r="534" spans="1:9" x14ac:dyDescent="0.25">
      <c r="A534" t="s">
        <v>345</v>
      </c>
      <c r="B534">
        <f>IF($B$520+B533&gt;0,1,0)</f>
        <v>1</v>
      </c>
      <c r="C534">
        <f t="shared" ref="C534:I534" si="482">IF($B$520+C533&gt;0,1,0)</f>
        <v>1</v>
      </c>
      <c r="D534">
        <f t="shared" si="482"/>
        <v>1</v>
      </c>
      <c r="E534">
        <f t="shared" si="482"/>
        <v>1</v>
      </c>
      <c r="F534">
        <f t="shared" si="482"/>
        <v>1</v>
      </c>
      <c r="G534">
        <f t="shared" si="482"/>
        <v>1</v>
      </c>
      <c r="H534">
        <f t="shared" si="482"/>
        <v>1</v>
      </c>
      <c r="I534">
        <f t="shared" si="482"/>
        <v>0</v>
      </c>
    </row>
    <row r="535" spans="1:9" x14ac:dyDescent="0.25">
      <c r="A535" t="s">
        <v>346</v>
      </c>
      <c r="B535">
        <f>IF(B534,0,1)</f>
        <v>0</v>
      </c>
      <c r="C535">
        <f t="shared" ref="C535:I535" si="483">IF(C534,0,1)</f>
        <v>0</v>
      </c>
      <c r="D535">
        <f t="shared" si="483"/>
        <v>0</v>
      </c>
      <c r="E535">
        <f t="shared" si="483"/>
        <v>0</v>
      </c>
      <c r="F535">
        <f t="shared" si="483"/>
        <v>0</v>
      </c>
      <c r="G535">
        <f t="shared" si="483"/>
        <v>0</v>
      </c>
      <c r="H535">
        <f t="shared" si="483"/>
        <v>0</v>
      </c>
      <c r="I535">
        <f t="shared" si="483"/>
        <v>1</v>
      </c>
    </row>
    <row r="536" spans="1:9" x14ac:dyDescent="0.25">
      <c r="A536" t="s">
        <v>347</v>
      </c>
      <c r="B536">
        <f>IF(B533+$B$521&gt;0,1,0)</f>
        <v>1</v>
      </c>
      <c r="C536">
        <f>IF(C533+$B$521&gt;0,1,0)</f>
        <v>1</v>
      </c>
      <c r="D536">
        <f t="shared" ref="D536:I536" si="484">IF(D533+$B$521&gt;0,1,0)</f>
        <v>1</v>
      </c>
      <c r="E536">
        <f t="shared" si="484"/>
        <v>1</v>
      </c>
      <c r="F536">
        <f t="shared" si="484"/>
        <v>1</v>
      </c>
      <c r="G536">
        <f t="shared" si="484"/>
        <v>1</v>
      </c>
      <c r="H536">
        <f t="shared" si="484"/>
        <v>1</v>
      </c>
      <c r="I536">
        <f t="shared" si="484"/>
        <v>0</v>
      </c>
    </row>
    <row r="537" spans="1:9" x14ac:dyDescent="0.25">
      <c r="A537" t="s">
        <v>350</v>
      </c>
      <c r="B537">
        <f>IF(B526+B527+B528&gt;0,1,0)</f>
        <v>1</v>
      </c>
      <c r="C537">
        <f t="shared" ref="C537:I537" si="485">IF(C526+C527+C528&gt;0,1,0)</f>
        <v>0</v>
      </c>
      <c r="D537">
        <f t="shared" si="485"/>
        <v>0</v>
      </c>
      <c r="E537">
        <f t="shared" si="485"/>
        <v>0</v>
      </c>
      <c r="F537">
        <f t="shared" si="485"/>
        <v>0</v>
      </c>
      <c r="G537">
        <f t="shared" si="485"/>
        <v>0</v>
      </c>
      <c r="H537">
        <f t="shared" si="485"/>
        <v>0</v>
      </c>
      <c r="I537">
        <f t="shared" si="485"/>
        <v>1</v>
      </c>
    </row>
    <row r="538" spans="1:9" x14ac:dyDescent="0.25">
      <c r="A538" t="s">
        <v>348</v>
      </c>
      <c r="B538">
        <f>IF(B536+B537=2,1,0)</f>
        <v>1</v>
      </c>
      <c r="C538">
        <f t="shared" ref="C538:I538" si="486">IF(C536+C537=2,1,0)</f>
        <v>0</v>
      </c>
      <c r="D538">
        <f t="shared" si="486"/>
        <v>0</v>
      </c>
      <c r="E538">
        <f t="shared" si="486"/>
        <v>0</v>
      </c>
      <c r="F538">
        <f t="shared" si="486"/>
        <v>0</v>
      </c>
      <c r="G538">
        <f t="shared" si="486"/>
        <v>0</v>
      </c>
      <c r="H538">
        <f t="shared" si="486"/>
        <v>0</v>
      </c>
      <c r="I538">
        <f t="shared" si="486"/>
        <v>0</v>
      </c>
    </row>
    <row r="539" spans="1:9" x14ac:dyDescent="0.25">
      <c r="A539" t="s">
        <v>349</v>
      </c>
      <c r="B539">
        <f>IF(B528+B526+B527=3,1,0)</f>
        <v>0</v>
      </c>
      <c r="C539">
        <f t="shared" ref="C539:I539" si="487">IF(C528+C526+C527=3,1,0)</f>
        <v>0</v>
      </c>
      <c r="D539">
        <f t="shared" si="487"/>
        <v>0</v>
      </c>
      <c r="E539">
        <f t="shared" si="487"/>
        <v>0</v>
      </c>
      <c r="F539">
        <f t="shared" si="487"/>
        <v>0</v>
      </c>
      <c r="G539">
        <f t="shared" si="487"/>
        <v>0</v>
      </c>
      <c r="H539">
        <f t="shared" si="487"/>
        <v>0</v>
      </c>
      <c r="I539">
        <f t="shared" si="487"/>
        <v>0</v>
      </c>
    </row>
    <row r="540" spans="1:9" x14ac:dyDescent="0.25">
      <c r="A540" t="s">
        <v>351</v>
      </c>
      <c r="B540">
        <f>IF(B538+B539&gt;0,1,0)</f>
        <v>1</v>
      </c>
      <c r="C540">
        <f t="shared" ref="C540:I540" si="488">IF(C538+C539&gt;0,1,0)</f>
        <v>0</v>
      </c>
      <c r="D540">
        <f t="shared" si="488"/>
        <v>0</v>
      </c>
      <c r="E540">
        <f t="shared" si="488"/>
        <v>0</v>
      </c>
      <c r="F540">
        <f t="shared" si="488"/>
        <v>0</v>
      </c>
      <c r="G540">
        <f t="shared" si="488"/>
        <v>0</v>
      </c>
      <c r="H540">
        <f t="shared" si="488"/>
        <v>0</v>
      </c>
      <c r="I540">
        <f t="shared" si="488"/>
        <v>0</v>
      </c>
    </row>
    <row r="542" spans="1:9" x14ac:dyDescent="0.25">
      <c r="A542" s="38" t="s">
        <v>325</v>
      </c>
      <c r="B542" s="39">
        <v>0</v>
      </c>
      <c r="C542" s="39"/>
      <c r="D542" s="39"/>
      <c r="E542" s="39"/>
      <c r="F542" s="39"/>
      <c r="G542" s="39"/>
      <c r="H542" s="39"/>
      <c r="I542" s="39"/>
    </row>
    <row r="543" spans="1:9" x14ac:dyDescent="0.25">
      <c r="A543" s="38" t="s">
        <v>352</v>
      </c>
      <c r="B543" s="40">
        <v>1</v>
      </c>
      <c r="C543" s="40">
        <v>1</v>
      </c>
      <c r="D543" s="40">
        <v>1</v>
      </c>
      <c r="E543" s="40">
        <v>1</v>
      </c>
      <c r="F543" s="40">
        <v>1</v>
      </c>
      <c r="G543" s="40">
        <v>1</v>
      </c>
      <c r="H543" s="40">
        <v>1</v>
      </c>
      <c r="I543" s="40">
        <v>1</v>
      </c>
    </row>
    <row r="544" spans="1:9" x14ac:dyDescent="0.25">
      <c r="A544" s="38" t="s">
        <v>353</v>
      </c>
      <c r="B544" s="40">
        <v>0</v>
      </c>
      <c r="C544" s="40">
        <v>0</v>
      </c>
      <c r="D544" s="40">
        <v>0</v>
      </c>
      <c r="E544" s="40">
        <v>0</v>
      </c>
      <c r="F544" s="40">
        <v>0</v>
      </c>
      <c r="G544" s="40">
        <v>0</v>
      </c>
      <c r="H544" s="40">
        <v>0</v>
      </c>
      <c r="I544" s="40">
        <v>0</v>
      </c>
    </row>
    <row r="545" spans="1:9" x14ac:dyDescent="0.25">
      <c r="A545" s="38" t="s">
        <v>333</v>
      </c>
      <c r="B545" s="46">
        <v>200</v>
      </c>
      <c r="C545" s="39"/>
      <c r="D545" s="39"/>
      <c r="E545" s="39"/>
      <c r="F545" s="39"/>
      <c r="G545" s="39"/>
      <c r="H545" s="39"/>
      <c r="I545" s="39"/>
    </row>
    <row r="546" spans="1:9" x14ac:dyDescent="0.25">
      <c r="A546" s="38" t="s">
        <v>334</v>
      </c>
      <c r="B546" s="46">
        <v>1</v>
      </c>
      <c r="C546" s="39"/>
      <c r="D546" s="39"/>
      <c r="E546" s="39"/>
      <c r="F546" s="39"/>
      <c r="G546" s="39"/>
      <c r="H546" s="39"/>
      <c r="I546" s="39"/>
    </row>
    <row r="547" spans="1:9" x14ac:dyDescent="0.25">
      <c r="A547" s="38" t="s">
        <v>335</v>
      </c>
      <c r="B547" s="42">
        <v>1</v>
      </c>
      <c r="C547" s="39"/>
      <c r="D547" s="39"/>
      <c r="E547" s="39"/>
      <c r="F547" s="39"/>
      <c r="G547" s="39"/>
      <c r="H547" s="39"/>
      <c r="I547" s="39"/>
    </row>
    <row r="548" spans="1:9" x14ac:dyDescent="0.25">
      <c r="A548" s="38" t="s">
        <v>327</v>
      </c>
      <c r="B548" s="43">
        <v>0</v>
      </c>
      <c r="C548" s="39"/>
      <c r="D548" s="39"/>
      <c r="E548" s="39"/>
      <c r="F548" s="39"/>
      <c r="G548" s="39"/>
      <c r="H548" s="39"/>
      <c r="I548" s="39"/>
    </row>
    <row r="549" spans="1:9" x14ac:dyDescent="0.25">
      <c r="A549" s="38" t="s">
        <v>326</v>
      </c>
      <c r="B549" s="43">
        <v>0</v>
      </c>
      <c r="C549" s="39"/>
      <c r="D549" s="39"/>
      <c r="E549" s="39"/>
      <c r="F549" s="39"/>
      <c r="G549" s="39"/>
      <c r="H549" s="39"/>
      <c r="I549" s="39"/>
    </row>
    <row r="550" spans="1:9" x14ac:dyDescent="0.25">
      <c r="A550" s="38" t="s">
        <v>328</v>
      </c>
      <c r="B550" s="43">
        <v>0</v>
      </c>
      <c r="C550" s="39"/>
      <c r="D550" s="39"/>
      <c r="E550" s="39"/>
      <c r="F550" s="39"/>
      <c r="G550" s="39"/>
      <c r="H550" s="39"/>
      <c r="I550" s="39"/>
    </row>
    <row r="551" spans="1:9" x14ac:dyDescent="0.25">
      <c r="A551" s="38" t="s">
        <v>336</v>
      </c>
      <c r="B551" s="44">
        <f>B545</f>
        <v>200</v>
      </c>
      <c r="C551" s="44">
        <f>IF(B551&gt;127,B551-128,B551)</f>
        <v>72</v>
      </c>
      <c r="D551" s="44">
        <f>IF(C551&gt;63,C551-64,C551)</f>
        <v>8</v>
      </c>
      <c r="E551" s="44">
        <f>IF(D551&gt;31,D551-32,D551)</f>
        <v>8</v>
      </c>
      <c r="F551" s="44">
        <f>IF(E551&gt;15,E551-16,E551)</f>
        <v>8</v>
      </c>
      <c r="G551" s="44">
        <f>IF(F551&gt;7,F551-8,F551)</f>
        <v>0</v>
      </c>
      <c r="H551" s="44">
        <f>IF(G551&gt;3,G551-4,G551)</f>
        <v>0</v>
      </c>
      <c r="I551" s="44">
        <f>IF(H551&gt;1,H551-2,H551)</f>
        <v>0</v>
      </c>
    </row>
    <row r="552" spans="1:9" x14ac:dyDescent="0.25">
      <c r="A552" s="38" t="s">
        <v>337</v>
      </c>
      <c r="B552" s="44">
        <f>B546</f>
        <v>1</v>
      </c>
      <c r="C552" s="44">
        <f>IF(B552&gt;127,B552-128,B552)</f>
        <v>1</v>
      </c>
      <c r="D552" s="44">
        <f>IF(C552&gt;63,C552-64,C552)</f>
        <v>1</v>
      </c>
      <c r="E552" s="44">
        <f>IF(D552&gt;31,D552-32,D552)</f>
        <v>1</v>
      </c>
      <c r="F552" s="44">
        <f>IF(E552&gt;15,E552-16,E552)</f>
        <v>1</v>
      </c>
      <c r="G552" s="44">
        <f>IF(F552&gt;7,F552-8,F552)</f>
        <v>1</v>
      </c>
      <c r="H552" s="44">
        <f>IF(G552&gt;3,G552-4,G552)</f>
        <v>1</v>
      </c>
      <c r="I552" s="44">
        <f>IF(H552&gt;1,H552-2,H552)</f>
        <v>1</v>
      </c>
    </row>
    <row r="553" spans="1:9" x14ac:dyDescent="0.25">
      <c r="A553" s="38" t="s">
        <v>338</v>
      </c>
      <c r="B553" s="44">
        <f>IF(B551&gt;127,1,0)</f>
        <v>1</v>
      </c>
      <c r="C553" s="44">
        <f>IF(C551&gt;63,1,0)</f>
        <v>1</v>
      </c>
      <c r="D553" s="44">
        <f>IF(D551&gt;31,1,0)</f>
        <v>0</v>
      </c>
      <c r="E553" s="44">
        <f>IF(E551&gt;15,1,0)</f>
        <v>0</v>
      </c>
      <c r="F553" s="44">
        <f>IF(F551&gt;7,1,0)</f>
        <v>1</v>
      </c>
      <c r="G553" s="44">
        <f>IF(G551&gt;3,1,0)</f>
        <v>0</v>
      </c>
      <c r="H553" s="44">
        <f>IF(H551&gt;1,1,0)</f>
        <v>0</v>
      </c>
      <c r="I553" s="44">
        <f>IF(I551&gt;0,1,0)</f>
        <v>0</v>
      </c>
    </row>
    <row r="554" spans="1:9" x14ac:dyDescent="0.25">
      <c r="A554" s="38" t="s">
        <v>339</v>
      </c>
      <c r="B554" s="44">
        <f>IF(B552&gt;127,1,0)</f>
        <v>0</v>
      </c>
      <c r="C554" s="44">
        <f>IF(C552&gt;63,1,0)</f>
        <v>0</v>
      </c>
      <c r="D554" s="44">
        <f>IF(D552&gt;31,1,0)</f>
        <v>0</v>
      </c>
      <c r="E554" s="44">
        <f>IF(E552&gt;15,1,0)</f>
        <v>0</v>
      </c>
      <c r="F554" s="44">
        <f>IF(F552&gt;7,1,0)</f>
        <v>0</v>
      </c>
      <c r="G554" s="44">
        <f>IF(G552&gt;3,1,0)</f>
        <v>0</v>
      </c>
      <c r="H554" s="44">
        <f>IF(H552&gt;1,1,0)</f>
        <v>0</v>
      </c>
      <c r="I554" s="44">
        <f>IF(I552&gt;0,1,0)</f>
        <v>1</v>
      </c>
    </row>
    <row r="555" spans="1:9" x14ac:dyDescent="0.25">
      <c r="A555" s="38" t="s">
        <v>323</v>
      </c>
      <c r="B555" s="47">
        <f>IF($B$547=0,B543,B553)</f>
        <v>1</v>
      </c>
      <c r="C555" s="47">
        <f>IF($B$547=0,C543,C553)</f>
        <v>1</v>
      </c>
      <c r="D555" s="47">
        <f t="shared" ref="C555:I556" si="489">IF($B$547=0,D543,D553)</f>
        <v>0</v>
      </c>
      <c r="E555" s="47">
        <f t="shared" si="489"/>
        <v>0</v>
      </c>
      <c r="F555" s="47">
        <f t="shared" si="489"/>
        <v>1</v>
      </c>
      <c r="G555" s="47">
        <f t="shared" si="489"/>
        <v>0</v>
      </c>
      <c r="H555" s="47">
        <f t="shared" si="489"/>
        <v>0</v>
      </c>
      <c r="I555" s="47">
        <f t="shared" si="489"/>
        <v>0</v>
      </c>
    </row>
    <row r="556" spans="1:9" x14ac:dyDescent="0.25">
      <c r="A556" s="38" t="s">
        <v>324</v>
      </c>
      <c r="B556" s="47">
        <f>IF($B$547=0,B544,B554)</f>
        <v>0</v>
      </c>
      <c r="C556" s="47">
        <f t="shared" si="489"/>
        <v>0</v>
      </c>
      <c r="D556" s="47">
        <f t="shared" si="489"/>
        <v>0</v>
      </c>
      <c r="E556" s="47">
        <f t="shared" si="489"/>
        <v>0</v>
      </c>
      <c r="F556" s="47">
        <f t="shared" si="489"/>
        <v>0</v>
      </c>
      <c r="G556" s="47">
        <f t="shared" si="489"/>
        <v>0</v>
      </c>
      <c r="H556" s="47">
        <f t="shared" si="489"/>
        <v>0</v>
      </c>
      <c r="I556" s="47">
        <f t="shared" si="489"/>
        <v>1</v>
      </c>
    </row>
    <row r="557" spans="1:9" x14ac:dyDescent="0.25">
      <c r="A557" s="38" t="s">
        <v>325</v>
      </c>
      <c r="B557" s="47">
        <f t="shared" ref="B557:G557" si="490">C564</f>
        <v>0</v>
      </c>
      <c r="C557" s="47">
        <f t="shared" si="490"/>
        <v>0</v>
      </c>
      <c r="D557" s="47">
        <f t="shared" si="490"/>
        <v>0</v>
      </c>
      <c r="E557" s="47">
        <f t="shared" si="490"/>
        <v>0</v>
      </c>
      <c r="F557" s="47">
        <f t="shared" si="490"/>
        <v>0</v>
      </c>
      <c r="G557" s="47">
        <f t="shared" si="490"/>
        <v>0</v>
      </c>
      <c r="H557" s="47">
        <f>I564</f>
        <v>0</v>
      </c>
      <c r="I557" s="47">
        <f>B542</f>
        <v>0</v>
      </c>
    </row>
    <row r="558" spans="1:9" x14ac:dyDescent="0.25">
      <c r="A558" s="38" t="s">
        <v>340</v>
      </c>
      <c r="B558" s="41">
        <f>IF(B555+B556=2,1,0)</f>
        <v>0</v>
      </c>
      <c r="C558" s="41">
        <f t="shared" ref="C558:I558" si="491">IF(C555+C556=2,1,0)</f>
        <v>0</v>
      </c>
      <c r="D558" s="41">
        <f t="shared" si="491"/>
        <v>0</v>
      </c>
      <c r="E558" s="41">
        <f t="shared" si="491"/>
        <v>0</v>
      </c>
      <c r="F558" s="41">
        <f t="shared" si="491"/>
        <v>0</v>
      </c>
      <c r="G558" s="41">
        <f t="shared" si="491"/>
        <v>0</v>
      </c>
      <c r="H558" s="41">
        <f t="shared" si="491"/>
        <v>0</v>
      </c>
      <c r="I558" s="41">
        <f t="shared" si="491"/>
        <v>0</v>
      </c>
    </row>
    <row r="559" spans="1:9" x14ac:dyDescent="0.25">
      <c r="A559" s="38" t="s">
        <v>341</v>
      </c>
      <c r="B559" s="41">
        <f>IF(B555+B556&gt;0,1,0)</f>
        <v>1</v>
      </c>
      <c r="C559" s="41">
        <f t="shared" ref="C559:I559" si="492">IF(C555+C556&gt;0,1,0)</f>
        <v>1</v>
      </c>
      <c r="D559" s="41">
        <f t="shared" si="492"/>
        <v>0</v>
      </c>
      <c r="E559" s="41">
        <f t="shared" si="492"/>
        <v>0</v>
      </c>
      <c r="F559" s="41">
        <f t="shared" si="492"/>
        <v>1</v>
      </c>
      <c r="G559" s="41">
        <f t="shared" si="492"/>
        <v>0</v>
      </c>
      <c r="H559" s="41">
        <f t="shared" si="492"/>
        <v>0</v>
      </c>
      <c r="I559" s="41">
        <f t="shared" si="492"/>
        <v>1</v>
      </c>
    </row>
    <row r="560" spans="1:9" x14ac:dyDescent="0.25">
      <c r="A560" s="38" t="s">
        <v>342</v>
      </c>
      <c r="B560" s="41">
        <f>IF(B559+B557=2,1,0)</f>
        <v>0</v>
      </c>
      <c r="C560" s="41">
        <f t="shared" ref="C560:I560" si="493">IF(C559+C557=2,1,0)</f>
        <v>0</v>
      </c>
      <c r="D560" s="41">
        <f t="shared" si="493"/>
        <v>0</v>
      </c>
      <c r="E560" s="41">
        <f t="shared" si="493"/>
        <v>0</v>
      </c>
      <c r="F560" s="41">
        <f t="shared" si="493"/>
        <v>0</v>
      </c>
      <c r="G560" s="41">
        <f t="shared" si="493"/>
        <v>0</v>
      </c>
      <c r="H560" s="41">
        <f t="shared" si="493"/>
        <v>0</v>
      </c>
      <c r="I560" s="41">
        <f t="shared" si="493"/>
        <v>0</v>
      </c>
    </row>
    <row r="561" spans="1:9" x14ac:dyDescent="0.25">
      <c r="A561" s="38" t="s">
        <v>343</v>
      </c>
      <c r="B561" s="41">
        <f>IF(B560+B558+$B$548&gt;0,1,0)</f>
        <v>0</v>
      </c>
      <c r="C561" s="41">
        <f t="shared" ref="C561:I561" si="494">IF(C560+C558+$B$548&gt;0,1,0)</f>
        <v>0</v>
      </c>
      <c r="D561" s="41">
        <f t="shared" si="494"/>
        <v>0</v>
      </c>
      <c r="E561" s="41">
        <f t="shared" si="494"/>
        <v>0</v>
      </c>
      <c r="F561" s="41">
        <f t="shared" si="494"/>
        <v>0</v>
      </c>
      <c r="G561" s="41">
        <f t="shared" si="494"/>
        <v>0</v>
      </c>
      <c r="H561" s="41">
        <f t="shared" si="494"/>
        <v>0</v>
      </c>
      <c r="I561" s="41">
        <f t="shared" si="494"/>
        <v>0</v>
      </c>
    </row>
    <row r="562" spans="1:9" x14ac:dyDescent="0.25">
      <c r="A562" s="38" t="s">
        <v>344</v>
      </c>
      <c r="B562" s="41">
        <f>IF(B561=0,1,0)</f>
        <v>1</v>
      </c>
      <c r="C562" s="41">
        <f t="shared" ref="C562:I562" si="495">IF(C561=0,1,0)</f>
        <v>1</v>
      </c>
      <c r="D562" s="41">
        <f t="shared" si="495"/>
        <v>1</v>
      </c>
      <c r="E562" s="41">
        <f t="shared" si="495"/>
        <v>1</v>
      </c>
      <c r="F562" s="41">
        <f t="shared" si="495"/>
        <v>1</v>
      </c>
      <c r="G562" s="41">
        <f t="shared" si="495"/>
        <v>1</v>
      </c>
      <c r="H562" s="41">
        <f t="shared" si="495"/>
        <v>1</v>
      </c>
      <c r="I562" s="41">
        <f t="shared" si="495"/>
        <v>1</v>
      </c>
    </row>
    <row r="563" spans="1:9" x14ac:dyDescent="0.25">
      <c r="A563" s="38" t="s">
        <v>345</v>
      </c>
      <c r="B563" s="41">
        <f>IF(B562+$B$549&gt;0,1,0)</f>
        <v>1</v>
      </c>
      <c r="C563" s="41">
        <f t="shared" ref="C563:I563" si="496">IF(C562+$B$549&gt;0,1,0)</f>
        <v>1</v>
      </c>
      <c r="D563" s="41">
        <f t="shared" si="496"/>
        <v>1</v>
      </c>
      <c r="E563" s="41">
        <f t="shared" si="496"/>
        <v>1</v>
      </c>
      <c r="F563" s="41">
        <f t="shared" si="496"/>
        <v>1</v>
      </c>
      <c r="G563" s="41">
        <f t="shared" si="496"/>
        <v>1</v>
      </c>
      <c r="H563" s="41">
        <f t="shared" si="496"/>
        <v>1</v>
      </c>
      <c r="I563" s="41">
        <f t="shared" si="496"/>
        <v>1</v>
      </c>
    </row>
    <row r="564" spans="1:9" x14ac:dyDescent="0.25">
      <c r="A564" s="38" t="s">
        <v>346</v>
      </c>
      <c r="B564" s="41">
        <f>IF(B563=0,1,0)</f>
        <v>0</v>
      </c>
      <c r="C564" s="41">
        <f t="shared" ref="C564:I564" si="497">IF(C563=0,1,0)</f>
        <v>0</v>
      </c>
      <c r="D564" s="41">
        <f t="shared" si="497"/>
        <v>0</v>
      </c>
      <c r="E564" s="41">
        <f t="shared" si="497"/>
        <v>0</v>
      </c>
      <c r="F564" s="41">
        <f t="shared" si="497"/>
        <v>0</v>
      </c>
      <c r="G564" s="41">
        <f t="shared" si="497"/>
        <v>0</v>
      </c>
      <c r="H564" s="41">
        <f t="shared" si="497"/>
        <v>0</v>
      </c>
      <c r="I564" s="41">
        <f t="shared" si="497"/>
        <v>0</v>
      </c>
    </row>
    <row r="565" spans="1:9" x14ac:dyDescent="0.25">
      <c r="A565" s="38" t="s">
        <v>347</v>
      </c>
      <c r="B565" s="41">
        <f>IF(B562+$B$550&gt;0,1,0)</f>
        <v>1</v>
      </c>
      <c r="C565" s="41">
        <f t="shared" ref="C565:I565" si="498">IF(C562+$B$550&gt;0,1,0)</f>
        <v>1</v>
      </c>
      <c r="D565" s="41">
        <f t="shared" si="498"/>
        <v>1</v>
      </c>
      <c r="E565" s="41">
        <f t="shared" si="498"/>
        <v>1</v>
      </c>
      <c r="F565" s="41">
        <f t="shared" si="498"/>
        <v>1</v>
      </c>
      <c r="G565" s="41">
        <f t="shared" si="498"/>
        <v>1</v>
      </c>
      <c r="H565" s="41">
        <f t="shared" si="498"/>
        <v>1</v>
      </c>
      <c r="I565" s="41">
        <f t="shared" si="498"/>
        <v>1</v>
      </c>
    </row>
    <row r="566" spans="1:9" x14ac:dyDescent="0.25">
      <c r="A566" s="38" t="s">
        <v>350</v>
      </c>
      <c r="B566" s="41">
        <f>IF(B555+B556+B557&gt;0,1,0)</f>
        <v>1</v>
      </c>
      <c r="C566" s="41">
        <f t="shared" ref="C566:I566" si="499">IF(C555+C556+C557&gt;0,1,0)</f>
        <v>1</v>
      </c>
      <c r="D566" s="41">
        <f t="shared" si="499"/>
        <v>0</v>
      </c>
      <c r="E566" s="41">
        <f t="shared" si="499"/>
        <v>0</v>
      </c>
      <c r="F566" s="41">
        <f t="shared" si="499"/>
        <v>1</v>
      </c>
      <c r="G566" s="41">
        <f t="shared" si="499"/>
        <v>0</v>
      </c>
      <c r="H566" s="41">
        <f t="shared" si="499"/>
        <v>0</v>
      </c>
      <c r="I566" s="41">
        <f t="shared" si="499"/>
        <v>1</v>
      </c>
    </row>
    <row r="567" spans="1:9" x14ac:dyDescent="0.25">
      <c r="A567" s="38" t="s">
        <v>348</v>
      </c>
      <c r="B567" s="41">
        <f>IF(B566+B565=2,1,0)</f>
        <v>1</v>
      </c>
      <c r="C567" s="41">
        <f t="shared" ref="C567:I567" si="500">IF(C566+C565=2,1,0)</f>
        <v>1</v>
      </c>
      <c r="D567" s="41">
        <f t="shared" si="500"/>
        <v>0</v>
      </c>
      <c r="E567" s="41">
        <f t="shared" si="500"/>
        <v>0</v>
      </c>
      <c r="F567" s="41">
        <f t="shared" si="500"/>
        <v>1</v>
      </c>
      <c r="G567" s="41">
        <f t="shared" si="500"/>
        <v>0</v>
      </c>
      <c r="H567" s="41">
        <f t="shared" si="500"/>
        <v>0</v>
      </c>
      <c r="I567" s="41">
        <f t="shared" si="500"/>
        <v>1</v>
      </c>
    </row>
    <row r="568" spans="1:9" x14ac:dyDescent="0.25">
      <c r="A568" s="38" t="s">
        <v>349</v>
      </c>
      <c r="B568" s="41">
        <f>IF(B555+B556+B557=3,1,0)</f>
        <v>0</v>
      </c>
      <c r="C568" s="41">
        <f t="shared" ref="C568:I568" si="501">IF(C555+C556+C557=3,1,0)</f>
        <v>0</v>
      </c>
      <c r="D568" s="41">
        <f t="shared" si="501"/>
        <v>0</v>
      </c>
      <c r="E568" s="41">
        <f t="shared" si="501"/>
        <v>0</v>
      </c>
      <c r="F568" s="41">
        <f t="shared" si="501"/>
        <v>0</v>
      </c>
      <c r="G568" s="41">
        <f t="shared" si="501"/>
        <v>0</v>
      </c>
      <c r="H568" s="41">
        <f t="shared" si="501"/>
        <v>0</v>
      </c>
      <c r="I568" s="41">
        <f t="shared" si="501"/>
        <v>0</v>
      </c>
    </row>
    <row r="569" spans="1:9" x14ac:dyDescent="0.25">
      <c r="A569" s="38" t="s">
        <v>351</v>
      </c>
      <c r="B569" s="45">
        <f>IF(B567+B568&gt;0,1,0)</f>
        <v>1</v>
      </c>
      <c r="C569" s="45">
        <f t="shared" ref="C569:H569" si="502">IF(C567+C568&gt;0,1,0)</f>
        <v>1</v>
      </c>
      <c r="D569" s="45">
        <f t="shared" si="502"/>
        <v>0</v>
      </c>
      <c r="E569" s="45">
        <f t="shared" si="502"/>
        <v>0</v>
      </c>
      <c r="F569" s="45">
        <f t="shared" si="502"/>
        <v>1</v>
      </c>
      <c r="G569" s="45">
        <f t="shared" si="502"/>
        <v>0</v>
      </c>
      <c r="H569" s="45">
        <f t="shared" si="502"/>
        <v>0</v>
      </c>
      <c r="I569" s="45">
        <f>IF(I567+I568&gt;0,1,0)</f>
        <v>1</v>
      </c>
    </row>
  </sheetData>
  <phoneticPr fontId="2" type="noConversion"/>
  <conditionalFormatting sqref="A32:M46">
    <cfRule type="colorScale" priority="4">
      <colorScale>
        <cfvo type="min"/>
        <cfvo type="percentile" val="50"/>
        <cfvo type="max"/>
        <color rgb="FFFF7128"/>
        <color rgb="FFFFFF00"/>
        <color rgb="FF00B050"/>
      </colorScale>
    </cfRule>
  </conditionalFormatting>
  <conditionalFormatting sqref="B3:M13">
    <cfRule type="dataBar" priority="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{95D61A10-DE29-4AF2-9B4D-95C4FDA09BA8}</x14:id>
        </ext>
      </extLst>
    </cfRule>
  </conditionalFormatting>
  <conditionalFormatting sqref="B33:M46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dataValidations disablePrompts="1" count="2">
    <dataValidation type="decimal" allowBlank="1" showInputMessage="1" showErrorMessage="1" sqref="B124:I125 B187:B188" xr:uid="{A9A8781A-9F53-47EF-90F8-12746C4ACEAC}">
      <formula1>-100000</formula1>
      <formula2>100000</formula2>
    </dataValidation>
    <dataValidation type="decimal" allowBlank="1" showInputMessage="1" showErrorMessage="1" sqref="B105:B114 C112:I114 B168:B177" xr:uid="{49EF136B-9E17-403D-8BC8-6005E844BC0D}">
      <formula1>-5</formula1>
      <formula2>5</formula2>
    </dataValidation>
  </dataValidations>
  <pageMargins left="0.7" right="0.7" top="0.78740157499999996" bottom="0.78740157499999996" header="0.3" footer="0.3"/>
  <pageSetup paperSize="9" orientation="portrait" r:id="rId2"/>
  <drawing r:id="rId3"/>
  <tableParts count="12"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5D61A10-DE29-4AF2-9B4D-95C4FDA09BA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B3:M13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>SMP motherson GmbH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Riegel, Louis (SMP)</dc:creator>
  <cp:lastModifiedBy>Riegel, Louis (SMP)</cp:lastModifiedBy>
  <dcterms:created xsi:type="dcterms:W3CDTF">2024-11-12T07:46:45Z</dcterms:created>
  <dcterms:modified xsi:type="dcterms:W3CDTF">2025-06-04T12:52:10Z</dcterms:modified>
</cp:coreProperties>
</file>